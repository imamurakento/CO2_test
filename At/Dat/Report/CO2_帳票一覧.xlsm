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aGs\dIT\c7_Prj\21_TCrm\4_Dat\csv\"/>
    </mc:Choice>
  </mc:AlternateContent>
  <xr:revisionPtr revIDLastSave="0" documentId="13_ncr:1_{5D2F8972-7CEC-48D4-BB51-A8D361CD85E9}" xr6:coauthVersionLast="47" xr6:coauthVersionMax="47" xr10:uidLastSave="{00000000-0000-0000-0000-000000000000}"/>
  <bookViews>
    <workbookView xWindow="5130" yWindow="4095" windowWidth="28800" windowHeight="15885" firstSheet="11" activeTab="19" xr2:uid="{1E9D43B2-BEFF-4253-9A1A-C22383A9B55D}"/>
  </bookViews>
  <sheets>
    <sheet name="口座勘定元帳R" sheetId="1" r:id="rId1"/>
    <sheet name="委託者別勘定元帳R" sheetId="3" r:id="rId2"/>
    <sheet name="委託者別勘定元帳T" sheetId="4" r:id="rId3"/>
    <sheet name="総合管理表R" sheetId="5" r:id="rId4"/>
    <sheet name="総合管理表T" sheetId="6" r:id="rId5"/>
    <sheet name="残高照合通知書R" sheetId="7" r:id="rId6"/>
    <sheet name="残高照合通知書T" sheetId="8" r:id="rId7"/>
    <sheet name="残高照合(返信)R" sheetId="9" r:id="rId8"/>
    <sheet name="残高照合(返信)T" sheetId="10" r:id="rId9"/>
    <sheet name="売買報告書R" sheetId="11" r:id="rId10"/>
    <sheet name="売買報告書T" sheetId="12" r:id="rId11"/>
    <sheet name="売買情報R" sheetId="13" r:id="rId12"/>
    <sheet name="売買情報T" sheetId="14" r:id="rId13"/>
    <sheet name="商い履歴R" sheetId="15" r:id="rId14"/>
    <sheet name="商い履歴T" sheetId="16" r:id="rId15"/>
    <sheet name="不足金額請求書R" sheetId="17" r:id="rId16"/>
    <sheet name="不足金額請求書T" sheetId="18" r:id="rId17"/>
    <sheet name="解約確認書R" sheetId="19" r:id="rId18"/>
    <sheet name="解約確認書T" sheetId="20" r:id="rId19"/>
    <sheet name="口座勘定元帳T" sheetId="2" r:id="rId20"/>
  </sheets>
  <definedNames>
    <definedName name="Address1" localSheetId="8">'残高照合(返信)T'!$B$3</definedName>
    <definedName name="Address1" localSheetId="6">残高照合通知書T!$B$3</definedName>
    <definedName name="Address1" localSheetId="14">商い履歴T!#REF!</definedName>
    <definedName name="Address1" localSheetId="10">売買報告書T!$B$3</definedName>
    <definedName name="Address1" localSheetId="16">不足金額請求書T!$B$3</definedName>
    <definedName name="Address1">残高照合通知書R!$B$3</definedName>
    <definedName name="Address2" localSheetId="8">'残高照合(返信)T'!$B$4</definedName>
    <definedName name="Address2" localSheetId="6">残高照合通知書T!$B$4</definedName>
    <definedName name="Address2" localSheetId="14">商い履歴T!#REF!</definedName>
    <definedName name="Address2" localSheetId="10">売買報告書T!$B$4</definedName>
    <definedName name="Address2" localSheetId="16">不足金額請求書T!$B$4</definedName>
    <definedName name="Address2">残高照合通知書R!$B$4</definedName>
    <definedName name="Adress">口座勘定元帳R!$H$9</definedName>
    <definedName name="AveLine">総合管理表T!$16:$16</definedName>
    <definedName name="AvePrice">総合管理表T!#REF!</definedName>
    <definedName name="Azukarikin" localSheetId="14">商い履歴T!$B$6</definedName>
    <definedName name="Azukarikin" localSheetId="10">売買報告書T!#REF!</definedName>
    <definedName name="Azukarikin">残高照合通知書R!$B$23</definedName>
    <definedName name="Branch">総合管理表R!$B$1</definedName>
    <definedName name="BuyLine">総合管理表T!$18:$18</definedName>
    <definedName name="BuyLine2">総合管理表T!$25:$25</definedName>
    <definedName name="CustHandTel" localSheetId="12">売買情報T!$H$3</definedName>
    <definedName name="CustHandTel">売買情報R!$H$3</definedName>
    <definedName name="CustID" localSheetId="12">売買情報T!$B$2</definedName>
    <definedName name="CustID">売買情報R!$B$2</definedName>
    <definedName name="CustName" localSheetId="8">'残高照合(返信)T'!$B$7</definedName>
    <definedName name="CustName" localSheetId="6">残高照合通知書T!$B$7</definedName>
    <definedName name="CustName" localSheetId="14">商い履歴T!$C$3</definedName>
    <definedName name="CustName" localSheetId="10">売買報告書T!$B$7</definedName>
    <definedName name="CustName" localSheetId="16">不足金額請求書T!$B$7</definedName>
    <definedName name="CustName">口座勘定元帳R!$H$10</definedName>
    <definedName name="CustName_委託者別">委託者別勘定元帳R!$C$4</definedName>
    <definedName name="CustNmae" localSheetId="12">売買情報T!$B$3</definedName>
    <definedName name="CustNumber" localSheetId="8">'残高照合(返信)T'!$C$8</definedName>
    <definedName name="CustNumber" localSheetId="6">残高照合通知書T!$C$8</definedName>
    <definedName name="CustNumber" localSheetId="14">商い履歴T!$C$4</definedName>
    <definedName name="CustNumber" localSheetId="10">売買報告書T!$C$8</definedName>
    <definedName name="CustNumber" localSheetId="16">不足金額請求書T!$C$8</definedName>
    <definedName name="CustNumber">口座勘定元帳R!$H$7</definedName>
    <definedName name="CustTel" localSheetId="12">売買情報T!$H$1</definedName>
    <definedName name="CustTel">売買情報R!$H$1</definedName>
    <definedName name="CustWorkTel" localSheetId="12">売買情報T!$H$2</definedName>
    <definedName name="CustWorkTel">売買情報R!$H$2</definedName>
    <definedName name="DataLine">委託者別勘定元帳T!$4:$4</definedName>
    <definedName name="DataTitleLine">総合管理表T!$5:$6</definedName>
    <definedName name="DealingDate" localSheetId="8">'残高照合(返信)T'!$N$12</definedName>
    <definedName name="DealingDate" localSheetId="6">残高照合通知書T!$N$12</definedName>
    <definedName name="DealingDate" localSheetId="14">商い履歴T!#REF!</definedName>
    <definedName name="DealingDate" localSheetId="10">売買報告書T!$X$11</definedName>
    <definedName name="DealingDate" localSheetId="16">不足金額請求書T!$O$13</definedName>
    <definedName name="DealingDate">残高照合通知書R!$N$12</definedName>
    <definedName name="FeeLine">総合管理表T!$19:$19</definedName>
    <definedName name="FeeLine2">総合管理表T!$26:$26</definedName>
    <definedName name="GenzaiTorihiki" localSheetId="14">商い履歴T!#REF!</definedName>
    <definedName name="GenzaiTorihiki">残高照合通知書R!$A$28</definedName>
    <definedName name="IssuedDate" localSheetId="8">'残高照合(返信)T'!$N$11</definedName>
    <definedName name="IssuedDate" localSheetId="6">残高照合通知書T!$N$11</definedName>
    <definedName name="IssuedDate" localSheetId="14">商い履歴T!#REF!</definedName>
    <definedName name="IssuedDate" localSheetId="10">売買報告書T!$X$12</definedName>
    <definedName name="IssuedDate" localSheetId="16">不足金額請求書T!$O$12</definedName>
    <definedName name="IssuedDate">残高照合通知書R!$N$11</definedName>
    <definedName name="ItemLine">総合管理表T!$15:$15</definedName>
    <definedName name="ItemLine2">総合管理表T!$23:$23</definedName>
    <definedName name="KinriZan">残高照合通知書R!$A$40</definedName>
    <definedName name="KinriZandaka" localSheetId="14">商い履歴T!#REF!</definedName>
    <definedName name="KinriZandaka" localSheetId="10">売買報告書T!#REF!</definedName>
    <definedName name="KinriZandaka" localSheetId="16">不足金額請求書T!#REF!</definedName>
    <definedName name="KinriZandaka">売買報告書R!$A$33</definedName>
    <definedName name="NesDepoMony" localSheetId="12">売買情報T!$L$2</definedName>
    <definedName name="NesDepoMony">売買情報R!$L$2</definedName>
    <definedName name="NextPage" localSheetId="14">商い履歴T!#REF!</definedName>
    <definedName name="NextPage">口座勘定元帳R!$A$59</definedName>
    <definedName name="NyuukinKijitsu" localSheetId="16">不足金額請求書T!$G$21</definedName>
    <definedName name="NyuukinKijitsu">不足金額請求書R!$G$21</definedName>
    <definedName name="Page1st">口座勘定元帳T!$1:$58</definedName>
    <definedName name="Page2nd">口座勘定元帳T!$59:$116</definedName>
    <definedName name="PosiStart" localSheetId="12">売買情報T!$B$36</definedName>
    <definedName name="PosiStart">売買情報R!$B$36</definedName>
    <definedName name="_xlnm.Print_Area" localSheetId="16">不足金額請求書T!$A$1:$Q$84</definedName>
    <definedName name="_xlnm.Print_Titles" localSheetId="1">委託者別勘定元帳R!$7:$9</definedName>
    <definedName name="_xlnm.Print_Titles" localSheetId="2">委託者別勘定元帳T!$1:$4</definedName>
    <definedName name="_xlnm.Print_Titles" localSheetId="3">総合管理表R!$1:$4</definedName>
    <definedName name="ProcessedDate">解約確認書R!$F$32</definedName>
    <definedName name="ProfitLossTotl" localSheetId="12">売買情報T!$L$1</definedName>
    <definedName name="ProfitLossTotl">売買情報R!$L$1</definedName>
    <definedName name="SaleLine">総合管理表T!$17:$17</definedName>
    <definedName name="SaleLine2">総合管理表T!$24:$24</definedName>
    <definedName name="SartPoint">口座勘定元帳R!$A$15</definedName>
    <definedName name="Seikyuugaku" localSheetId="16">不足金額請求書T!$B$21</definedName>
    <definedName name="Seikyuugaku">不足金額請求書R!$B$21</definedName>
    <definedName name="ShiteiDate">総合管理表R!$A$2</definedName>
    <definedName name="StartLine" localSheetId="12">売買情報T!$A$6</definedName>
    <definedName name="StartLine">売買情報R!$A$6</definedName>
    <definedName name="StartPoint">委託者別勘定元帳R!$A$10</definedName>
    <definedName name="StartTorihiki">商い履歴R!$A$8</definedName>
    <definedName name="SubTotalLine">総合管理表T!$10:$10</definedName>
    <definedName name="SwapLine">総合管理表T!$20:$20</definedName>
    <definedName name="SwapLine2">総合管理表T!$27:$27</definedName>
    <definedName name="TelNumber">委託者別勘定元帳R!$C$5</definedName>
    <definedName name="TLine">総合管理表T!$21:$21</definedName>
    <definedName name="TLine2">総合管理表T!$28:$28</definedName>
    <definedName name="TodayNyuukin">解約確認書R!$A$36</definedName>
    <definedName name="TodayTorihiki" localSheetId="14">商い履歴T!$A$8</definedName>
    <definedName name="TodayTorihiki" localSheetId="10">売買報告書T!$A$19</definedName>
    <definedName name="TodayTorihiki">売買報告書R!$A$19</definedName>
    <definedName name="TorihikiStart">口座勘定元帳R!$B$15</definedName>
    <definedName name="TotalLine">総合管理表T!$12:$13</definedName>
    <definedName name="TradeDate" localSheetId="12">売買情報T!$B$1</definedName>
    <definedName name="TradeDate">売買情報R!$B$1</definedName>
    <definedName name="ZipCode" localSheetId="8">'残高照合(返信)T'!$B$2</definedName>
    <definedName name="ZipCode" localSheetId="6">残高照合通知書T!$B$2</definedName>
    <definedName name="ZipCode" localSheetId="14">商い履歴T!#REF!</definedName>
    <definedName name="ZipCode" localSheetId="10">売買報告書T!$B$2</definedName>
    <definedName name="ZipCode" localSheetId="16">不足金額請求書T!$B$2</definedName>
    <definedName name="ZipCode">口座勘定元帳R!$H$8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5" i="19" l="1"/>
  <c r="F91" i="19"/>
  <c r="J85" i="19"/>
  <c r="C71" i="19"/>
  <c r="B70" i="19"/>
  <c r="B66" i="19"/>
  <c r="B65" i="19"/>
  <c r="F30" i="19"/>
  <c r="F93" i="19" s="1"/>
  <c r="F28" i="19"/>
  <c r="N80" i="18"/>
  <c r="M80" i="18"/>
  <c r="L80" i="18"/>
  <c r="O80" i="18" s="1"/>
  <c r="F80" i="18"/>
  <c r="E80" i="18"/>
  <c r="H69" i="18"/>
  <c r="L69" i="18" s="1"/>
  <c r="D69" i="18"/>
  <c r="N55" i="18"/>
  <c r="N54" i="18"/>
  <c r="N38" i="18"/>
  <c r="M38" i="18"/>
  <c r="L38" i="18"/>
  <c r="O38" i="18" s="1"/>
  <c r="F38" i="18"/>
  <c r="E38" i="18"/>
  <c r="H27" i="18"/>
  <c r="L27" i="18" s="1"/>
  <c r="B21" i="18" s="1"/>
  <c r="D27" i="18"/>
  <c r="N38" i="17"/>
  <c r="M38" i="17"/>
  <c r="L38" i="17"/>
  <c r="O38" i="17" s="1"/>
  <c r="F38" i="17"/>
  <c r="H27" i="17"/>
  <c r="L27" i="17" s="1"/>
  <c r="B21" i="17" s="1"/>
  <c r="D27" i="17"/>
  <c r="C31" i="16"/>
  <c r="C30" i="16"/>
  <c r="L35" i="14"/>
  <c r="L35" i="13"/>
  <c r="Y103" i="12"/>
  <c r="X103" i="12"/>
  <c r="W103" i="12"/>
  <c r="V103" i="12"/>
  <c r="U103" i="12"/>
  <c r="S103" i="12"/>
  <c r="R103" i="12"/>
  <c r="Q103" i="12"/>
  <c r="P103" i="12"/>
  <c r="M103" i="12"/>
  <c r="K103" i="12"/>
  <c r="I103" i="12"/>
  <c r="G103" i="12"/>
  <c r="F103" i="12"/>
  <c r="D103" i="12"/>
  <c r="B103" i="12"/>
  <c r="A103" i="12"/>
  <c r="Y102" i="12"/>
  <c r="X102" i="12"/>
  <c r="W102" i="12"/>
  <c r="V102" i="12"/>
  <c r="U102" i="12"/>
  <c r="S102" i="12"/>
  <c r="R102" i="12"/>
  <c r="Q102" i="12"/>
  <c r="P102" i="12"/>
  <c r="M102" i="12"/>
  <c r="K102" i="12"/>
  <c r="I102" i="12"/>
  <c r="G102" i="12"/>
  <c r="F102" i="12"/>
  <c r="D102" i="12"/>
  <c r="B102" i="12"/>
  <c r="A102" i="12"/>
  <c r="Y101" i="12"/>
  <c r="X101" i="12"/>
  <c r="W101" i="12"/>
  <c r="V101" i="12"/>
  <c r="U101" i="12"/>
  <c r="S101" i="12"/>
  <c r="R101" i="12"/>
  <c r="Q101" i="12"/>
  <c r="P101" i="12"/>
  <c r="M101" i="12"/>
  <c r="K101" i="12"/>
  <c r="I101" i="12"/>
  <c r="G101" i="12"/>
  <c r="F101" i="12"/>
  <c r="D101" i="12"/>
  <c r="B101" i="12"/>
  <c r="A101" i="12"/>
  <c r="Y100" i="12"/>
  <c r="X100" i="12"/>
  <c r="W100" i="12"/>
  <c r="V100" i="12"/>
  <c r="U100" i="12"/>
  <c r="S100" i="12"/>
  <c r="R100" i="12"/>
  <c r="Q100" i="12"/>
  <c r="P100" i="12"/>
  <c r="M100" i="12"/>
  <c r="K100" i="12"/>
  <c r="I100" i="12"/>
  <c r="G100" i="12"/>
  <c r="F100" i="12"/>
  <c r="D100" i="12"/>
  <c r="B100" i="12"/>
  <c r="A100" i="12"/>
  <c r="Y99" i="12"/>
  <c r="X99" i="12"/>
  <c r="W99" i="12"/>
  <c r="V99" i="12"/>
  <c r="U99" i="12"/>
  <c r="S99" i="12"/>
  <c r="R99" i="12"/>
  <c r="Q99" i="12"/>
  <c r="P99" i="12"/>
  <c r="M99" i="12"/>
  <c r="K99" i="12"/>
  <c r="I99" i="12"/>
  <c r="G99" i="12"/>
  <c r="F99" i="12"/>
  <c r="D99" i="12"/>
  <c r="B99" i="12"/>
  <c r="A99" i="12"/>
  <c r="Y98" i="12"/>
  <c r="X98" i="12"/>
  <c r="W98" i="12"/>
  <c r="V98" i="12"/>
  <c r="U98" i="12"/>
  <c r="S98" i="12"/>
  <c r="R98" i="12"/>
  <c r="Q98" i="12"/>
  <c r="P98" i="12"/>
  <c r="M98" i="12"/>
  <c r="K98" i="12"/>
  <c r="I98" i="12"/>
  <c r="G98" i="12"/>
  <c r="F98" i="12"/>
  <c r="D98" i="12"/>
  <c r="B98" i="12"/>
  <c r="A98" i="12"/>
  <c r="C88" i="12"/>
  <c r="C87" i="12"/>
  <c r="C86" i="12"/>
  <c r="C85" i="12"/>
  <c r="C84" i="12"/>
  <c r="A83" i="12"/>
  <c r="X78" i="12"/>
  <c r="X104" i="12" s="1"/>
  <c r="W78" i="12"/>
  <c r="W104" i="12" s="1"/>
  <c r="V78" i="12"/>
  <c r="V104" i="12" s="1"/>
  <c r="I78" i="12"/>
  <c r="I104" i="12" s="1"/>
  <c r="G78" i="12"/>
  <c r="G104" i="12" s="1"/>
  <c r="I51" i="12"/>
  <c r="G51" i="12"/>
  <c r="Y50" i="12"/>
  <c r="X50" i="12"/>
  <c r="W50" i="12"/>
  <c r="V50" i="12"/>
  <c r="U50" i="12"/>
  <c r="S50" i="12"/>
  <c r="R50" i="12"/>
  <c r="Q50" i="12"/>
  <c r="P50" i="12"/>
  <c r="M50" i="12"/>
  <c r="K50" i="12"/>
  <c r="I50" i="12"/>
  <c r="G50" i="12"/>
  <c r="F50" i="12"/>
  <c r="D50" i="12"/>
  <c r="B50" i="12"/>
  <c r="A50" i="12"/>
  <c r="Y49" i="12"/>
  <c r="X49" i="12"/>
  <c r="W49" i="12"/>
  <c r="V49" i="12"/>
  <c r="U49" i="12"/>
  <c r="S49" i="12"/>
  <c r="R49" i="12"/>
  <c r="Q49" i="12"/>
  <c r="P49" i="12"/>
  <c r="M49" i="12"/>
  <c r="K49" i="12"/>
  <c r="I49" i="12"/>
  <c r="G49" i="12"/>
  <c r="F49" i="12"/>
  <c r="D49" i="12"/>
  <c r="B49" i="12"/>
  <c r="A49" i="12"/>
  <c r="Y48" i="12"/>
  <c r="X48" i="12"/>
  <c r="W48" i="12"/>
  <c r="V48" i="12"/>
  <c r="U48" i="12"/>
  <c r="S48" i="12"/>
  <c r="R48" i="12"/>
  <c r="Q48" i="12"/>
  <c r="P48" i="12"/>
  <c r="M48" i="12"/>
  <c r="K48" i="12"/>
  <c r="I48" i="12"/>
  <c r="G48" i="12"/>
  <c r="F48" i="12"/>
  <c r="D48" i="12"/>
  <c r="B48" i="12"/>
  <c r="A48" i="12"/>
  <c r="Y47" i="12"/>
  <c r="X47" i="12"/>
  <c r="W47" i="12"/>
  <c r="V47" i="12"/>
  <c r="U47" i="12"/>
  <c r="S47" i="12"/>
  <c r="R47" i="12"/>
  <c r="Q47" i="12"/>
  <c r="P47" i="12"/>
  <c r="M47" i="12"/>
  <c r="K47" i="12"/>
  <c r="I47" i="12"/>
  <c r="G47" i="12"/>
  <c r="F47" i="12"/>
  <c r="D47" i="12"/>
  <c r="B47" i="12"/>
  <c r="A47" i="12"/>
  <c r="Y46" i="12"/>
  <c r="X46" i="12"/>
  <c r="W46" i="12"/>
  <c r="V46" i="12"/>
  <c r="U46" i="12"/>
  <c r="S46" i="12"/>
  <c r="R46" i="12"/>
  <c r="Q46" i="12"/>
  <c r="P46" i="12"/>
  <c r="M46" i="12"/>
  <c r="K46" i="12"/>
  <c r="I46" i="12"/>
  <c r="G46" i="12"/>
  <c r="F46" i="12"/>
  <c r="D46" i="12"/>
  <c r="B46" i="12"/>
  <c r="A46" i="12"/>
  <c r="Y45" i="12"/>
  <c r="X45" i="12"/>
  <c r="W45" i="12"/>
  <c r="V45" i="12"/>
  <c r="U45" i="12"/>
  <c r="S45" i="12"/>
  <c r="R45" i="12"/>
  <c r="Q45" i="12"/>
  <c r="P45" i="12"/>
  <c r="M45" i="12"/>
  <c r="K45" i="12"/>
  <c r="I45" i="12"/>
  <c r="G45" i="12"/>
  <c r="F45" i="12"/>
  <c r="D45" i="12"/>
  <c r="B45" i="12"/>
  <c r="A45" i="12"/>
  <c r="X38" i="12"/>
  <c r="X37" i="12"/>
  <c r="C35" i="12"/>
  <c r="C34" i="12"/>
  <c r="C33" i="12"/>
  <c r="C32" i="12"/>
  <c r="C31" i="12"/>
  <c r="A30" i="12"/>
  <c r="X25" i="12"/>
  <c r="X51" i="12" s="1"/>
  <c r="W25" i="12"/>
  <c r="W51" i="12" s="1"/>
  <c r="V25" i="12"/>
  <c r="V51" i="12" s="1"/>
  <c r="I25" i="12"/>
  <c r="G25" i="12"/>
  <c r="X51" i="11"/>
  <c r="W51" i="11"/>
  <c r="V51" i="11"/>
  <c r="I51" i="11"/>
  <c r="G51" i="11"/>
  <c r="Y50" i="11"/>
  <c r="X50" i="11"/>
  <c r="W50" i="11"/>
  <c r="V50" i="11"/>
  <c r="U50" i="11"/>
  <c r="S50" i="11"/>
  <c r="R50" i="11"/>
  <c r="Q50" i="11"/>
  <c r="P50" i="11"/>
  <c r="M50" i="11"/>
  <c r="K50" i="11"/>
  <c r="I50" i="11"/>
  <c r="G50" i="11"/>
  <c r="F50" i="11"/>
  <c r="D50" i="11"/>
  <c r="B50" i="11"/>
  <c r="A50" i="11"/>
  <c r="Y49" i="11"/>
  <c r="X49" i="11"/>
  <c r="W49" i="11"/>
  <c r="V49" i="11"/>
  <c r="U49" i="11"/>
  <c r="S49" i="11"/>
  <c r="R49" i="11"/>
  <c r="Q49" i="11"/>
  <c r="P49" i="11"/>
  <c r="M49" i="11"/>
  <c r="K49" i="11"/>
  <c r="I49" i="11"/>
  <c r="G49" i="11"/>
  <c r="F49" i="11"/>
  <c r="D49" i="11"/>
  <c r="B49" i="11"/>
  <c r="A49" i="11"/>
  <c r="Y48" i="11"/>
  <c r="X48" i="11"/>
  <c r="W48" i="11"/>
  <c r="V48" i="11"/>
  <c r="U48" i="11"/>
  <c r="S48" i="11"/>
  <c r="R48" i="11"/>
  <c r="Q48" i="11"/>
  <c r="P48" i="11"/>
  <c r="M48" i="11"/>
  <c r="K48" i="11"/>
  <c r="I48" i="11"/>
  <c r="G48" i="11"/>
  <c r="F48" i="11"/>
  <c r="D48" i="11"/>
  <c r="B48" i="11"/>
  <c r="A48" i="11"/>
  <c r="Y46" i="11"/>
  <c r="X46" i="11"/>
  <c r="W46" i="11"/>
  <c r="V46" i="11"/>
  <c r="U46" i="11"/>
  <c r="S46" i="11"/>
  <c r="R46" i="11"/>
  <c r="Q46" i="11"/>
  <c r="P46" i="11"/>
  <c r="M46" i="11"/>
  <c r="K46" i="11"/>
  <c r="I46" i="11"/>
  <c r="G46" i="11"/>
  <c r="F46" i="11"/>
  <c r="D46" i="11"/>
  <c r="B46" i="11"/>
  <c r="A46" i="11"/>
  <c r="Y45" i="11"/>
  <c r="X45" i="11"/>
  <c r="W45" i="11"/>
  <c r="V45" i="11"/>
  <c r="U45" i="11"/>
  <c r="S45" i="11"/>
  <c r="R45" i="11"/>
  <c r="Q45" i="11"/>
  <c r="P45" i="11"/>
  <c r="M45" i="11"/>
  <c r="K45" i="11"/>
  <c r="I45" i="11"/>
  <c r="G45" i="11"/>
  <c r="F45" i="11"/>
  <c r="D45" i="11"/>
  <c r="B45" i="11"/>
  <c r="A45" i="11"/>
  <c r="C35" i="11"/>
  <c r="C34" i="11"/>
  <c r="C33" i="11"/>
  <c r="C32" i="11"/>
  <c r="C31" i="11"/>
  <c r="A30" i="11"/>
  <c r="Y25" i="11"/>
  <c r="Y51" i="11" s="1"/>
  <c r="X25" i="11"/>
  <c r="W25" i="11"/>
  <c r="V25" i="11"/>
  <c r="I25" i="11"/>
  <c r="G25" i="11"/>
  <c r="O71" i="10"/>
  <c r="N71" i="10"/>
  <c r="M71" i="10"/>
  <c r="L71" i="10"/>
  <c r="F71" i="10"/>
  <c r="E71" i="10"/>
  <c r="H59" i="10"/>
  <c r="K59" i="10" s="1"/>
  <c r="D59" i="10"/>
  <c r="N52" i="10"/>
  <c r="N51" i="10"/>
  <c r="N31" i="10"/>
  <c r="M31" i="10"/>
  <c r="L31" i="10"/>
  <c r="O31" i="10" s="1"/>
  <c r="F31" i="10"/>
  <c r="E31" i="10"/>
  <c r="H19" i="10"/>
  <c r="D19" i="10"/>
  <c r="K19" i="10" s="1"/>
  <c r="N35" i="9"/>
  <c r="M35" i="9"/>
  <c r="L35" i="9"/>
  <c r="O35" i="9" s="1"/>
  <c r="F35" i="9"/>
  <c r="E35" i="9"/>
  <c r="H23" i="9"/>
  <c r="K23" i="9" s="1"/>
  <c r="D23" i="9"/>
  <c r="N75" i="8"/>
  <c r="M75" i="8"/>
  <c r="L75" i="8"/>
  <c r="O75" i="8" s="1"/>
  <c r="F75" i="8"/>
  <c r="E75" i="8"/>
  <c r="H63" i="8"/>
  <c r="K63" i="8" s="1"/>
  <c r="D63" i="8"/>
  <c r="N52" i="8"/>
  <c r="N51" i="8"/>
  <c r="N35" i="8"/>
  <c r="M35" i="8"/>
  <c r="L35" i="8"/>
  <c r="O35" i="8" s="1"/>
  <c r="F35" i="8"/>
  <c r="E35" i="8"/>
  <c r="H23" i="8"/>
  <c r="D23" i="8"/>
  <c r="K23" i="8" s="1"/>
  <c r="N35" i="7"/>
  <c r="M35" i="7"/>
  <c r="L35" i="7"/>
  <c r="O35" i="7" s="1"/>
  <c r="F35" i="7"/>
  <c r="E35" i="7"/>
  <c r="H23" i="7"/>
  <c r="K23" i="7" s="1"/>
  <c r="D23" i="7"/>
  <c r="V13" i="6"/>
  <c r="R13" i="6"/>
  <c r="U13" i="6" s="1"/>
  <c r="O13" i="6"/>
  <c r="R10" i="6"/>
  <c r="U10" i="6" s="1"/>
  <c r="O10" i="6"/>
  <c r="E1" i="5"/>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H68" i="2"/>
  <c r="H67" i="2"/>
  <c r="H66" i="2"/>
  <c r="H65"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AD15" i="2"/>
  <c r="AD16" i="2" s="1"/>
  <c r="AD17" i="2" s="1"/>
  <c r="AD18" i="2" s="1"/>
  <c r="AD19" i="2" s="1"/>
  <c r="AD20" i="2" s="1"/>
  <c r="AD21" i="2" s="1"/>
  <c r="AD22" i="2" s="1"/>
  <c r="AD23" i="2" s="1"/>
  <c r="AD24" i="2" s="1"/>
  <c r="AD25" i="2" s="1"/>
  <c r="AD26" i="2" s="1"/>
  <c r="AD27" i="2" s="1"/>
  <c r="AD28" i="2" s="1"/>
  <c r="AD29" i="2" s="1"/>
  <c r="AD30" i="2" s="1"/>
  <c r="AD31" i="2" s="1"/>
  <c r="AD32" i="2" s="1"/>
  <c r="AD33" i="2" s="1"/>
  <c r="AD34" i="2" s="1"/>
  <c r="AD35" i="2" s="1"/>
  <c r="AD36" i="2" s="1"/>
  <c r="AD37" i="2" s="1"/>
  <c r="AD38" i="2" s="1"/>
  <c r="AD39" i="2" s="1"/>
  <c r="AD40" i="2" s="1"/>
  <c r="AD41" i="2" s="1"/>
  <c r="AD42" i="2" s="1"/>
  <c r="AD43" i="2" s="1"/>
  <c r="AD44" i="2" s="1"/>
  <c r="AD45" i="2" s="1"/>
  <c r="AD46" i="2" s="1"/>
  <c r="AD47" i="2" s="1"/>
  <c r="AD48" i="2" s="1"/>
  <c r="AD49" i="2" s="1"/>
  <c r="AD50" i="2" s="1"/>
  <c r="AD51" i="2" s="1"/>
  <c r="AD52" i="2" s="1"/>
  <c r="AD53" i="2" s="1"/>
  <c r="AD54" i="2" s="1"/>
  <c r="AD55" i="2" s="1"/>
  <c r="AD73" i="2" s="1"/>
  <c r="AD74" i="2" s="1"/>
  <c r="AD75" i="2" s="1"/>
  <c r="AD76" i="2" s="1"/>
  <c r="AD77" i="2" s="1"/>
  <c r="AD78" i="2" s="1"/>
  <c r="AD79" i="2" s="1"/>
  <c r="AD80" i="2" s="1"/>
  <c r="AD81" i="2" s="1"/>
  <c r="AD82" i="2" s="1"/>
  <c r="AD83" i="2" s="1"/>
  <c r="AD84" i="2" s="1"/>
  <c r="AD85" i="2" s="1"/>
  <c r="AD86" i="2" s="1"/>
  <c r="AD87" i="2" s="1"/>
  <c r="AD88" i="2" s="1"/>
  <c r="AD89" i="2" s="1"/>
  <c r="AD90" i="2" s="1"/>
  <c r="AD91" i="2" s="1"/>
  <c r="AD92" i="2" s="1"/>
  <c r="AD93" i="2" s="1"/>
  <c r="AD94" i="2" s="1"/>
  <c r="AD95" i="2" s="1"/>
  <c r="AD96" i="2" s="1"/>
  <c r="AD97" i="2" s="1"/>
  <c r="AD98" i="2" s="1"/>
  <c r="AD99" i="2" s="1"/>
  <c r="AD100" i="2" s="1"/>
  <c r="AD101" i="2" s="1"/>
  <c r="AD102" i="2" s="1"/>
  <c r="AD103" i="2" s="1"/>
  <c r="AD104" i="2" s="1"/>
  <c r="AD105" i="2" s="1"/>
  <c r="AD106" i="2" s="1"/>
  <c r="AD107" i="2" s="1"/>
  <c r="AD108" i="2" s="1"/>
  <c r="AD109" i="2" s="1"/>
  <c r="AD110" i="2" s="1"/>
  <c r="AD111" i="2" s="1"/>
  <c r="AD112" i="2" s="1"/>
  <c r="AD113" i="2" s="1"/>
  <c r="T15" i="2"/>
  <c r="Y25" i="12" l="1"/>
  <c r="Y51" i="12" s="1"/>
  <c r="Y78" i="12"/>
  <c r="Y104" i="12" s="1"/>
</calcChain>
</file>

<file path=xl/sharedStrings.xml><?xml version="1.0" encoding="utf-8"?>
<sst xmlns="http://schemas.openxmlformats.org/spreadsheetml/2006/main" count="915" uniqueCount="241">
  <si>
    <t>1P</t>
    <phoneticPr fontId="3"/>
  </si>
  <si>
    <t>　口座勘定元帳　</t>
    <rPh sb="1" eb="2">
      <t>クチ</t>
    </rPh>
    <rPh sb="2" eb="3">
      <t>ザ</t>
    </rPh>
    <rPh sb="3" eb="4">
      <t>カン</t>
    </rPh>
    <rPh sb="4" eb="5">
      <t>サダム</t>
    </rPh>
    <rPh sb="5" eb="6">
      <t>モト</t>
    </rPh>
    <rPh sb="6" eb="7">
      <t>トバリ</t>
    </rPh>
    <phoneticPr fontId="3"/>
  </si>
  <si>
    <t>コード　：</t>
    <phoneticPr fontId="3"/>
  </si>
  <si>
    <t>住　所　：</t>
    <rPh sb="0" eb="1">
      <t>ジュウ</t>
    </rPh>
    <rPh sb="2" eb="3">
      <t>トコロ</t>
    </rPh>
    <phoneticPr fontId="3"/>
  </si>
  <si>
    <t>氏　名　：</t>
    <rPh sb="0" eb="1">
      <t>シ</t>
    </rPh>
    <rPh sb="2" eb="3">
      <t>ナ</t>
    </rPh>
    <phoneticPr fontId="3"/>
  </si>
  <si>
    <t>日　　付</t>
    <rPh sb="0" eb="1">
      <t>ヒ</t>
    </rPh>
    <rPh sb="3" eb="4">
      <t>ヅケ</t>
    </rPh>
    <phoneticPr fontId="3"/>
  </si>
  <si>
    <t>入　　　金　</t>
    <rPh sb="0" eb="1">
      <t>イ</t>
    </rPh>
    <rPh sb="4" eb="5">
      <t>キン</t>
    </rPh>
    <phoneticPr fontId="3"/>
  </si>
  <si>
    <t>出　　　金　</t>
    <rPh sb="0" eb="1">
      <t>デ</t>
    </rPh>
    <rPh sb="4" eb="5">
      <t>キン</t>
    </rPh>
    <phoneticPr fontId="3"/>
  </si>
  <si>
    <t>売 買 損 益　</t>
    <rPh sb="0" eb="1">
      <t>バイ</t>
    </rPh>
    <rPh sb="2" eb="3">
      <t>バイ</t>
    </rPh>
    <rPh sb="4" eb="5">
      <t>ソン</t>
    </rPh>
    <rPh sb="6" eb="7">
      <t>エキ</t>
    </rPh>
    <phoneticPr fontId="3"/>
  </si>
  <si>
    <t xml:space="preserve">SP 損 益 </t>
    <rPh sb="3" eb="4">
      <t>ソン</t>
    </rPh>
    <rPh sb="5" eb="6">
      <t>エキ</t>
    </rPh>
    <phoneticPr fontId="3"/>
  </si>
  <si>
    <t>保 証 金 残 高　</t>
    <rPh sb="0" eb="1">
      <t>タモツ</t>
    </rPh>
    <rPh sb="2" eb="3">
      <t>アカシ</t>
    </rPh>
    <rPh sb="4" eb="5">
      <t>カネ</t>
    </rPh>
    <rPh sb="6" eb="7">
      <t>ザン</t>
    </rPh>
    <rPh sb="8" eb="9">
      <t>タカ</t>
    </rPh>
    <phoneticPr fontId="3"/>
  </si>
  <si>
    <t>備　　考</t>
    <rPh sb="0" eb="1">
      <t>ビ</t>
    </rPh>
    <rPh sb="3" eb="4">
      <t>コウ</t>
    </rPh>
    <phoneticPr fontId="3"/>
  </si>
  <si>
    <t>2P</t>
    <phoneticPr fontId="3"/>
  </si>
  <si>
    <t>委託者別勘定元帳</t>
    <rPh sb="0" eb="3">
      <t>イタクシャ</t>
    </rPh>
    <rPh sb="3" eb="4">
      <t>ベツ</t>
    </rPh>
    <rPh sb="4" eb="6">
      <t>カンジョウ</t>
    </rPh>
    <rPh sb="6" eb="8">
      <t>モトチョウ</t>
    </rPh>
    <phoneticPr fontId="3"/>
  </si>
  <si>
    <t>顧客番号</t>
    <rPh sb="0" eb="2">
      <t>コキャク</t>
    </rPh>
    <rPh sb="2" eb="4">
      <t>バンゴウ</t>
    </rPh>
    <phoneticPr fontId="3"/>
  </si>
  <si>
    <t>顧客氏名</t>
    <rPh sb="0" eb="2">
      <t>コキャク</t>
    </rPh>
    <rPh sb="2" eb="4">
      <t>シメイ</t>
    </rPh>
    <phoneticPr fontId="3"/>
  </si>
  <si>
    <t>電話番号</t>
    <rPh sb="0" eb="2">
      <t>デンワ</t>
    </rPh>
    <rPh sb="2" eb="4">
      <t>バンゴウ</t>
    </rPh>
    <phoneticPr fontId="3"/>
  </si>
  <si>
    <t>取引ID</t>
    <rPh sb="0" eb="2">
      <t>トリヒキ</t>
    </rPh>
    <phoneticPr fontId="3"/>
  </si>
  <si>
    <t>商品名</t>
    <rPh sb="0" eb="2">
      <t>ショウヒン</t>
    </rPh>
    <rPh sb="2" eb="3">
      <t>メイ</t>
    </rPh>
    <phoneticPr fontId="3"/>
  </si>
  <si>
    <t>売</t>
    <rPh sb="0" eb="1">
      <t>ウ</t>
    </rPh>
    <phoneticPr fontId="3"/>
  </si>
  <si>
    <t>買</t>
    <rPh sb="0" eb="1">
      <t>カ</t>
    </rPh>
    <phoneticPr fontId="3"/>
  </si>
  <si>
    <t>差益その他</t>
    <rPh sb="0" eb="2">
      <t>サエキ</t>
    </rPh>
    <rPh sb="4" eb="5">
      <t>タ</t>
    </rPh>
    <phoneticPr fontId="3"/>
  </si>
  <si>
    <t>成立時間</t>
    <rPh sb="0" eb="2">
      <t>セイリツ</t>
    </rPh>
    <rPh sb="2" eb="4">
      <t>ジカン</t>
    </rPh>
    <phoneticPr fontId="3"/>
  </si>
  <si>
    <t>成立値段</t>
    <rPh sb="0" eb="2">
      <t>セイリツ</t>
    </rPh>
    <rPh sb="2" eb="4">
      <t>ネダン</t>
    </rPh>
    <phoneticPr fontId="3"/>
  </si>
  <si>
    <t>枚数</t>
    <rPh sb="0" eb="2">
      <t>マイスウ</t>
    </rPh>
    <phoneticPr fontId="3"/>
  </si>
  <si>
    <t>ｽﾜｯﾌﾟﾎﾟｲﾝﾄ</t>
    <phoneticPr fontId="3"/>
  </si>
  <si>
    <t>為替ﾚｰﾄ</t>
    <rPh sb="0" eb="2">
      <t>カワセ</t>
    </rPh>
    <phoneticPr fontId="3"/>
  </si>
  <si>
    <t>売買差益</t>
    <rPh sb="0" eb="2">
      <t>バイバイ</t>
    </rPh>
    <rPh sb="2" eb="4">
      <t>サエキ</t>
    </rPh>
    <phoneticPr fontId="3"/>
  </si>
  <si>
    <t>手数料</t>
    <rPh sb="0" eb="3">
      <t>テスウリョウ</t>
    </rPh>
    <phoneticPr fontId="3"/>
  </si>
  <si>
    <t>消費税</t>
    <rPh sb="0" eb="3">
      <t>ショウヒゼイ</t>
    </rPh>
    <phoneticPr fontId="3"/>
  </si>
  <si>
    <t>差引損益金</t>
    <rPh sb="0" eb="2">
      <t>サシヒキ</t>
    </rPh>
    <rPh sb="2" eb="4">
      <t>ソンエキ</t>
    </rPh>
    <rPh sb="4" eb="5">
      <t>キン</t>
    </rPh>
    <phoneticPr fontId="3"/>
  </si>
  <si>
    <t>001</t>
    <phoneticPr fontId="3"/>
  </si>
  <si>
    <t>米ドル</t>
  </si>
  <si>
    <t>本店</t>
    <rPh sb="0" eb="2">
      <t>ホンテン</t>
    </rPh>
    <phoneticPr fontId="3"/>
  </si>
  <si>
    <t>10-11</t>
    <phoneticPr fontId="3"/>
  </si>
  <si>
    <t>総合管理表　【トラスト】</t>
    <rPh sb="0" eb="2">
      <t>ソウゴウ</t>
    </rPh>
    <rPh sb="2" eb="4">
      <t>カンリ</t>
    </rPh>
    <rPh sb="4" eb="5">
      <t>ヒョウ</t>
    </rPh>
    <phoneticPr fontId="3"/>
  </si>
  <si>
    <t>委託者コード</t>
    <rPh sb="0" eb="3">
      <t>イタクシャ</t>
    </rPh>
    <phoneticPr fontId="3"/>
  </si>
  <si>
    <t>コード</t>
    <phoneticPr fontId="3"/>
  </si>
  <si>
    <t>通貨種類</t>
    <rPh sb="0" eb="2">
      <t>ツウカ</t>
    </rPh>
    <rPh sb="2" eb="4">
      <t>シュルイ</t>
    </rPh>
    <phoneticPr fontId="3"/>
  </si>
  <si>
    <t>建玉Ｎo</t>
    <rPh sb="0" eb="1">
      <t>タ</t>
    </rPh>
    <rPh sb="1" eb="2">
      <t>タマ</t>
    </rPh>
    <phoneticPr fontId="3"/>
  </si>
  <si>
    <t>約定年月日</t>
    <rPh sb="0" eb="2">
      <t>ヤクジョウ</t>
    </rPh>
    <rPh sb="2" eb="5">
      <t>ネンガッピ</t>
    </rPh>
    <phoneticPr fontId="3"/>
  </si>
  <si>
    <t>約定レート</t>
    <rPh sb="0" eb="2">
      <t>ヤクジョウ</t>
    </rPh>
    <phoneticPr fontId="3"/>
  </si>
  <si>
    <t>帳入</t>
    <rPh sb="0" eb="1">
      <t>チョウ</t>
    </rPh>
    <rPh sb="1" eb="2">
      <t>イ</t>
    </rPh>
    <phoneticPr fontId="3"/>
  </si>
  <si>
    <t>為替
レート</t>
    <rPh sb="0" eb="2">
      <t>カワセ</t>
    </rPh>
    <phoneticPr fontId="3"/>
  </si>
  <si>
    <t>値洗金額</t>
    <rPh sb="0" eb="1">
      <t>ネ</t>
    </rPh>
    <rPh sb="1" eb="2">
      <t>アラ</t>
    </rPh>
    <rPh sb="2" eb="4">
      <t>キンガク</t>
    </rPh>
    <phoneticPr fontId="3"/>
  </si>
  <si>
    <t>預り保証金</t>
    <rPh sb="0" eb="1">
      <t>アズ</t>
    </rPh>
    <rPh sb="2" eb="5">
      <t>ホショウキン</t>
    </rPh>
    <phoneticPr fontId="3"/>
  </si>
  <si>
    <t>保証金
残高</t>
    <rPh sb="0" eb="3">
      <t>ホショウキン</t>
    </rPh>
    <rPh sb="4" eb="6">
      <t>ザンダカ</t>
    </rPh>
    <phoneticPr fontId="3"/>
  </si>
  <si>
    <t>保有金額</t>
    <phoneticPr fontId="3"/>
  </si>
  <si>
    <t>本保証金</t>
    <phoneticPr fontId="3"/>
  </si>
  <si>
    <t>追保証金</t>
    <phoneticPr fontId="3"/>
  </si>
  <si>
    <t>必要保証金</t>
    <rPh sb="0" eb="2">
      <t>ヒツヨウ</t>
    </rPh>
    <rPh sb="2" eb="5">
      <t>ホショウキン</t>
    </rPh>
    <phoneticPr fontId="3"/>
  </si>
  <si>
    <t>純保有金額</t>
    <rPh sb="0" eb="1">
      <t>ジュン</t>
    </rPh>
    <rPh sb="1" eb="3">
      <t>ホユウ</t>
    </rPh>
    <rPh sb="3" eb="5">
      <t>キンガク</t>
    </rPh>
    <phoneticPr fontId="3"/>
  </si>
  <si>
    <t>手数料     （税込）</t>
    <rPh sb="0" eb="3">
      <t>テスウリョウ</t>
    </rPh>
    <rPh sb="9" eb="11">
      <t>ゼイコ</t>
    </rPh>
    <phoneticPr fontId="3"/>
  </si>
  <si>
    <t>返還可能額    又は不足金額</t>
    <rPh sb="0" eb="2">
      <t>ヘンカン</t>
    </rPh>
    <rPh sb="2" eb="4">
      <t>カノウ</t>
    </rPh>
    <rPh sb="4" eb="5">
      <t>ガク</t>
    </rPh>
    <phoneticPr fontId="3"/>
  </si>
  <si>
    <t>見合率</t>
    <rPh sb="0" eb="2">
      <t>ミア</t>
    </rPh>
    <rPh sb="2" eb="3">
      <t>リツ</t>
    </rPh>
    <phoneticPr fontId="3"/>
  </si>
  <si>
    <t>スワップ　　　　　ポイント</t>
    <phoneticPr fontId="3"/>
  </si>
  <si>
    <t>スワップ累計</t>
    <rPh sb="4" eb="6">
      <t>ルイケイ</t>
    </rPh>
    <phoneticPr fontId="3"/>
  </si>
  <si>
    <t>差引損益金
累計</t>
    <rPh sb="0" eb="2">
      <t>サシヒキ</t>
    </rPh>
    <rPh sb="2" eb="4">
      <t>ソンエキ</t>
    </rPh>
    <rPh sb="4" eb="5">
      <t>キン</t>
    </rPh>
    <rPh sb="6" eb="8">
      <t>ルイケイ</t>
    </rPh>
    <phoneticPr fontId="3"/>
  </si>
  <si>
    <t>委託者名</t>
    <rPh sb="0" eb="3">
      <t>イタクシャ</t>
    </rPh>
    <rPh sb="3" eb="4">
      <t>ナ</t>
    </rPh>
    <phoneticPr fontId="3"/>
  </si>
  <si>
    <t>現金</t>
    <rPh sb="0" eb="2">
      <t>ゲンキン</t>
    </rPh>
    <phoneticPr fontId="3"/>
  </si>
  <si>
    <t>有価証券</t>
    <rPh sb="0" eb="2">
      <t>ユウカ</t>
    </rPh>
    <rPh sb="2" eb="4">
      <t>ショウケン</t>
    </rPh>
    <phoneticPr fontId="3"/>
  </si>
  <si>
    <t>取引商品</t>
    <rPh sb="0" eb="2">
      <t>トリヒキ</t>
    </rPh>
    <rPh sb="2" eb="4">
      <t>ショウヒン</t>
    </rPh>
    <phoneticPr fontId="3"/>
  </si>
  <si>
    <t>約定
レート</t>
    <rPh sb="0" eb="2">
      <t>ヤクジョウ</t>
    </rPh>
    <phoneticPr fontId="3"/>
  </si>
  <si>
    <t>20002</t>
    <phoneticPr fontId="3"/>
  </si>
  <si>
    <t>○○ ○○</t>
    <phoneticPr fontId="3"/>
  </si>
  <si>
    <t>米ドル</t>
    <rPh sb="0" eb="1">
      <t>ベイ</t>
    </rPh>
    <phoneticPr fontId="3"/>
  </si>
  <si>
    <t>小計</t>
    <rPh sb="0" eb="2">
      <t>ショウケイ</t>
    </rPh>
    <phoneticPr fontId="3"/>
  </si>
  <si>
    <t>合計</t>
    <rPh sb="0" eb="2">
      <t>ゴウケイ</t>
    </rPh>
    <phoneticPr fontId="3"/>
  </si>
  <si>
    <t>平均値</t>
    <rPh sb="0" eb="3">
      <t>ヘイキンチ</t>
    </rPh>
    <phoneticPr fontId="3"/>
  </si>
  <si>
    <t>値洗</t>
    <rPh sb="0" eb="1">
      <t>ネ</t>
    </rPh>
    <rPh sb="1" eb="2">
      <t>アラ</t>
    </rPh>
    <phoneticPr fontId="3"/>
  </si>
  <si>
    <t>スワップ</t>
    <phoneticPr fontId="3"/>
  </si>
  <si>
    <t xml:space="preserve">(No． 1 )  </t>
    <phoneticPr fontId="3"/>
  </si>
  <si>
    <t>殿</t>
    <rPh sb="0" eb="1">
      <t>ドノ</t>
    </rPh>
    <phoneticPr fontId="3"/>
  </si>
  <si>
    <t>LGトレード　残高照合通知書</t>
    <rPh sb="7" eb="9">
      <t>ザンダカ</t>
    </rPh>
    <rPh sb="9" eb="11">
      <t>ショウゴウ</t>
    </rPh>
    <rPh sb="11" eb="14">
      <t>ツウチショ</t>
    </rPh>
    <phoneticPr fontId="3"/>
  </si>
  <si>
    <t>発行日</t>
    <rPh sb="0" eb="2">
      <t>ハッコウ</t>
    </rPh>
    <rPh sb="2" eb="3">
      <t>ビ</t>
    </rPh>
    <phoneticPr fontId="3"/>
  </si>
  <si>
    <t>（現在）</t>
    <rPh sb="1" eb="3">
      <t>ゲンザイ</t>
    </rPh>
    <phoneticPr fontId="3"/>
  </si>
  <si>
    <t>　　　　毎々格別なるお引き立てを賜り厚く御礼申し上げます。</t>
    <rPh sb="4" eb="6">
      <t>マイマイ</t>
    </rPh>
    <rPh sb="6" eb="8">
      <t>カクベツ</t>
    </rPh>
    <rPh sb="11" eb="12">
      <t>ヒ</t>
    </rPh>
    <rPh sb="13" eb="14">
      <t>タ</t>
    </rPh>
    <rPh sb="16" eb="17">
      <t>タマワ</t>
    </rPh>
    <rPh sb="18" eb="19">
      <t>アツ</t>
    </rPh>
    <rPh sb="20" eb="22">
      <t>オンレイ</t>
    </rPh>
    <rPh sb="22" eb="23">
      <t>モウ</t>
    </rPh>
    <rPh sb="24" eb="25">
      <t>ア</t>
    </rPh>
    <phoneticPr fontId="3"/>
  </si>
  <si>
    <t xml:space="preserve">　　　　さて、早速ではございますが貴殿のお預り金及び建玉内容の定時照会日につき下記の通り通知いたします。 </t>
    <rPh sb="7" eb="9">
      <t>サッソク</t>
    </rPh>
    <rPh sb="17" eb="19">
      <t>キデン</t>
    </rPh>
    <rPh sb="21" eb="22">
      <t>アズカ</t>
    </rPh>
    <rPh sb="23" eb="24">
      <t>キン</t>
    </rPh>
    <rPh sb="24" eb="25">
      <t>オヨ</t>
    </rPh>
    <rPh sb="26" eb="27">
      <t>タ</t>
    </rPh>
    <rPh sb="27" eb="28">
      <t>タマ</t>
    </rPh>
    <rPh sb="28" eb="30">
      <t>ナイヨウ</t>
    </rPh>
    <rPh sb="31" eb="33">
      <t>テイジ</t>
    </rPh>
    <rPh sb="33" eb="35">
      <t>ショウカイ</t>
    </rPh>
    <rPh sb="35" eb="36">
      <t>ビ</t>
    </rPh>
    <rPh sb="39" eb="41">
      <t>カキ</t>
    </rPh>
    <rPh sb="42" eb="43">
      <t>トオ</t>
    </rPh>
    <rPh sb="44" eb="46">
      <t>ツウチ</t>
    </rPh>
    <phoneticPr fontId="3"/>
  </si>
  <si>
    <t xml:space="preserve">      お手許の報告書、計算書及び預り証等とご照合の上、本通知書の記載内容をご確認下さいますようお願い申し上げます。</t>
    <rPh sb="7" eb="9">
      <t>テモト</t>
    </rPh>
    <rPh sb="10" eb="13">
      <t>ホウコクショ</t>
    </rPh>
    <rPh sb="14" eb="17">
      <t>ケイサンショ</t>
    </rPh>
    <rPh sb="17" eb="18">
      <t>オヨ</t>
    </rPh>
    <rPh sb="19" eb="20">
      <t>アズカ</t>
    </rPh>
    <rPh sb="21" eb="22">
      <t>ショウ</t>
    </rPh>
    <rPh sb="22" eb="23">
      <t>ナド</t>
    </rPh>
    <rPh sb="25" eb="27">
      <t>ショウゴウ</t>
    </rPh>
    <rPh sb="28" eb="29">
      <t>ウエ</t>
    </rPh>
    <rPh sb="30" eb="31">
      <t>ホン</t>
    </rPh>
    <rPh sb="31" eb="34">
      <t>ツウチショ</t>
    </rPh>
    <rPh sb="35" eb="37">
      <t>キサイ</t>
    </rPh>
    <rPh sb="37" eb="39">
      <t>ナイヨウ</t>
    </rPh>
    <rPh sb="41" eb="43">
      <t>カクニン</t>
    </rPh>
    <rPh sb="43" eb="44">
      <t>クダ</t>
    </rPh>
    <rPh sb="51" eb="52">
      <t>ネガ</t>
    </rPh>
    <rPh sb="53" eb="54">
      <t>モウ</t>
    </rPh>
    <rPh sb="55" eb="56">
      <t>ア</t>
    </rPh>
    <phoneticPr fontId="3"/>
  </si>
  <si>
    <t xml:space="preserve">      尚、内容にご不明な点・相違点がございましたら、直ちに当社管理部（06-XXXX-XXXX）へご連絡下さい。</t>
    <rPh sb="6" eb="7">
      <t>ナオ</t>
    </rPh>
    <rPh sb="8" eb="10">
      <t>ナイヨウ</t>
    </rPh>
    <rPh sb="12" eb="14">
      <t>フメイ</t>
    </rPh>
    <rPh sb="15" eb="16">
      <t>テン</t>
    </rPh>
    <rPh sb="17" eb="20">
      <t>ソウイテン</t>
    </rPh>
    <rPh sb="29" eb="30">
      <t>タダ</t>
    </rPh>
    <rPh sb="32" eb="34">
      <t>トウシャ</t>
    </rPh>
    <rPh sb="34" eb="36">
      <t>カンリ</t>
    </rPh>
    <rPh sb="36" eb="37">
      <t>ブ</t>
    </rPh>
    <rPh sb="53" eb="55">
      <t>レンラク</t>
    </rPh>
    <rPh sb="55" eb="56">
      <t>クダ</t>
    </rPh>
    <phoneticPr fontId="3"/>
  </si>
  <si>
    <t>【現在お預り金内訳】</t>
    <rPh sb="1" eb="3">
      <t>ゲンザイ</t>
    </rPh>
    <rPh sb="4" eb="5">
      <t>アズカ</t>
    </rPh>
    <rPh sb="6" eb="7">
      <t>キン</t>
    </rPh>
    <rPh sb="7" eb="9">
      <t>ウチワケ</t>
    </rPh>
    <phoneticPr fontId="3"/>
  </si>
  <si>
    <t>委託保証金必要額　①</t>
    <rPh sb="0" eb="2">
      <t>イタク</t>
    </rPh>
    <rPh sb="5" eb="7">
      <t>ヒツヨウ</t>
    </rPh>
    <rPh sb="7" eb="8">
      <t>ガク</t>
    </rPh>
    <phoneticPr fontId="3"/>
  </si>
  <si>
    <t>お預り保証金　②</t>
    <rPh sb="1" eb="2">
      <t>アズカ</t>
    </rPh>
    <rPh sb="3" eb="6">
      <t>ホショウキン</t>
    </rPh>
    <phoneticPr fontId="3"/>
  </si>
  <si>
    <t>差引損益金　③　　　　　</t>
    <rPh sb="0" eb="2">
      <t>サシヒキ</t>
    </rPh>
    <rPh sb="2" eb="4">
      <t>ソンエキ</t>
    </rPh>
    <rPh sb="4" eb="5">
      <t>キン</t>
    </rPh>
    <phoneticPr fontId="3"/>
  </si>
  <si>
    <t>返還可能額又は不足金額</t>
    <rPh sb="0" eb="2">
      <t>ヘンカン</t>
    </rPh>
    <rPh sb="2" eb="4">
      <t>カノウ</t>
    </rPh>
    <rPh sb="4" eb="5">
      <t>ガク</t>
    </rPh>
    <phoneticPr fontId="3"/>
  </si>
  <si>
    <t>基本保証金</t>
    <rPh sb="0" eb="2">
      <t>キホン</t>
    </rPh>
    <rPh sb="2" eb="5">
      <t>ホショウキン</t>
    </rPh>
    <phoneticPr fontId="3"/>
  </si>
  <si>
    <t>追加保証金</t>
    <rPh sb="0" eb="2">
      <t>ツイカ</t>
    </rPh>
    <rPh sb="2" eb="5">
      <t>ホショウキン</t>
    </rPh>
    <phoneticPr fontId="3"/>
  </si>
  <si>
    <t>必要額合計</t>
    <rPh sb="0" eb="2">
      <t>ヒツヨウ</t>
    </rPh>
    <rPh sb="2" eb="3">
      <t>ガク</t>
    </rPh>
    <rPh sb="3" eb="5">
      <t>ゴウケイ</t>
    </rPh>
    <phoneticPr fontId="3"/>
  </si>
  <si>
    <t>現在高合計</t>
    <rPh sb="0" eb="2">
      <t>ゲンザイ</t>
    </rPh>
    <rPh sb="2" eb="3">
      <t>タカ</t>
    </rPh>
    <rPh sb="3" eb="5">
      <t>ゴウケイ</t>
    </rPh>
    <phoneticPr fontId="3"/>
  </si>
  <si>
    <t>②-①+③</t>
    <phoneticPr fontId="3"/>
  </si>
  <si>
    <t>【現在のお取引内容】</t>
    <rPh sb="1" eb="3">
      <t>ゲンザイ</t>
    </rPh>
    <rPh sb="5" eb="7">
      <t>トリヒキ</t>
    </rPh>
    <rPh sb="7" eb="9">
      <t>ナイヨウ</t>
    </rPh>
    <phoneticPr fontId="3"/>
  </si>
  <si>
    <t>No</t>
    <phoneticPr fontId="3"/>
  </si>
  <si>
    <t>取引所   限月
商品銘柄</t>
    <rPh sb="0" eb="2">
      <t>トリヒキ</t>
    </rPh>
    <rPh sb="2" eb="3">
      <t>ジョ</t>
    </rPh>
    <rPh sb="6" eb="7">
      <t>キリ</t>
    </rPh>
    <rPh sb="7" eb="8">
      <t>ヅキ</t>
    </rPh>
    <rPh sb="9" eb="11">
      <t>ショウヒン</t>
    </rPh>
    <rPh sb="11" eb="13">
      <t>メイガラ</t>
    </rPh>
    <phoneticPr fontId="3"/>
  </si>
  <si>
    <t>約定年月日</t>
    <rPh sb="0" eb="2">
      <t>ヤクテイ</t>
    </rPh>
    <rPh sb="2" eb="5">
      <t>ネンガッピ</t>
    </rPh>
    <phoneticPr fontId="3"/>
  </si>
  <si>
    <t>数量</t>
    <rPh sb="0" eb="2">
      <t>スウリョウ</t>
    </rPh>
    <phoneticPr fontId="3"/>
  </si>
  <si>
    <t>約定値段 ※</t>
    <rPh sb="0" eb="2">
      <t>ヤクジョウ</t>
    </rPh>
    <rPh sb="2" eb="4">
      <t>ネダン</t>
    </rPh>
    <phoneticPr fontId="3"/>
  </si>
  <si>
    <t>値洗基準
値段 ※</t>
    <rPh sb="0" eb="1">
      <t>ネ</t>
    </rPh>
    <rPh sb="1" eb="2">
      <t>アラ</t>
    </rPh>
    <rPh sb="2" eb="4">
      <t>キジュン</t>
    </rPh>
    <rPh sb="5" eb="7">
      <t>ネダン</t>
    </rPh>
    <phoneticPr fontId="3"/>
  </si>
  <si>
    <t>値洗差損益  (外貨) ※</t>
    <rPh sb="0" eb="1">
      <t>ネ</t>
    </rPh>
    <rPh sb="1" eb="2">
      <t>ススグ</t>
    </rPh>
    <rPh sb="2" eb="5">
      <t>サソンエキ</t>
    </rPh>
    <rPh sb="8" eb="10">
      <t>ガイカ</t>
    </rPh>
    <phoneticPr fontId="3"/>
  </si>
  <si>
    <t>仮為替
レート</t>
    <rPh sb="0" eb="1">
      <t>カリ</t>
    </rPh>
    <rPh sb="1" eb="3">
      <t>カワセ</t>
    </rPh>
    <phoneticPr fontId="3"/>
  </si>
  <si>
    <t>値洗差損益  (円貨) ①</t>
    <rPh sb="0" eb="1">
      <t>ネ</t>
    </rPh>
    <rPh sb="1" eb="2">
      <t>ススグ</t>
    </rPh>
    <rPh sb="2" eb="5">
      <t>サソンエキ</t>
    </rPh>
    <rPh sb="8" eb="10">
      <t>エンカ</t>
    </rPh>
    <phoneticPr fontId="3"/>
  </si>
  <si>
    <t>委託手数料
②</t>
    <rPh sb="0" eb="2">
      <t>イタク</t>
    </rPh>
    <rPh sb="2" eb="4">
      <t>テスウ</t>
    </rPh>
    <rPh sb="4" eb="5">
      <t>リョウ</t>
    </rPh>
    <phoneticPr fontId="3"/>
  </si>
  <si>
    <t>消費税　　　　　　③</t>
    <rPh sb="0" eb="3">
      <t>ショウヒゼイ</t>
    </rPh>
    <phoneticPr fontId="3"/>
  </si>
  <si>
    <t>仮差引損益金　　　　　　　　　　　　①-②</t>
    <rPh sb="0" eb="1">
      <t>カリ</t>
    </rPh>
    <rPh sb="1" eb="3">
      <t>サシヒキ</t>
    </rPh>
    <rPh sb="3" eb="5">
      <t>ソンエキ</t>
    </rPh>
    <rPh sb="5" eb="6">
      <t>キン</t>
    </rPh>
    <phoneticPr fontId="3"/>
  </si>
  <si>
    <t>現在のお取引合計</t>
    <rPh sb="0" eb="2">
      <t>ゲンザイ</t>
    </rPh>
    <rPh sb="4" eb="6">
      <t>トリヒキ</t>
    </rPh>
    <rPh sb="6" eb="8">
      <t>ゴウケイ</t>
    </rPh>
    <phoneticPr fontId="3"/>
  </si>
  <si>
    <t>返還可能額は、本通知書作成日現在におけるお預り委託保証金から委託必要保証金額を差し引いた金額に差引損益金を加減した金額です。</t>
    <rPh sb="0" eb="2">
      <t>ヘンカン</t>
    </rPh>
    <rPh sb="2" eb="5">
      <t>カノウガク</t>
    </rPh>
    <rPh sb="7" eb="8">
      <t>ホン</t>
    </rPh>
    <rPh sb="8" eb="11">
      <t>ツウチショ</t>
    </rPh>
    <rPh sb="11" eb="14">
      <t>サクセイビ</t>
    </rPh>
    <rPh sb="14" eb="16">
      <t>ゲンザイ</t>
    </rPh>
    <rPh sb="21" eb="22">
      <t>アズカ</t>
    </rPh>
    <rPh sb="23" eb="25">
      <t>イタク</t>
    </rPh>
    <rPh sb="30" eb="32">
      <t>イタク</t>
    </rPh>
    <rPh sb="32" eb="34">
      <t>ヒツヨウ</t>
    </rPh>
    <rPh sb="34" eb="36">
      <t>ホショウ</t>
    </rPh>
    <rPh sb="36" eb="38">
      <t>キンガク</t>
    </rPh>
    <rPh sb="39" eb="40">
      <t>サ</t>
    </rPh>
    <rPh sb="41" eb="42">
      <t>ヒ</t>
    </rPh>
    <rPh sb="44" eb="46">
      <t>キンガク</t>
    </rPh>
    <rPh sb="47" eb="49">
      <t>サシヒキ</t>
    </rPh>
    <rPh sb="49" eb="51">
      <t>ソンエキ</t>
    </rPh>
    <rPh sb="51" eb="52">
      <t>キン</t>
    </rPh>
    <phoneticPr fontId="3"/>
  </si>
  <si>
    <t>なお、貴殿にまだ未決済の建玉がある場合には、今後の価格変動やお取引等により、返還可能額が変わりますので、ご承知下さい。</t>
    <rPh sb="3" eb="5">
      <t>キデン</t>
    </rPh>
    <rPh sb="8" eb="9">
      <t>ミ</t>
    </rPh>
    <rPh sb="9" eb="11">
      <t>ケッサイ</t>
    </rPh>
    <rPh sb="12" eb="13">
      <t>タ</t>
    </rPh>
    <rPh sb="13" eb="14">
      <t>タマ</t>
    </rPh>
    <rPh sb="17" eb="19">
      <t>バアイ</t>
    </rPh>
    <rPh sb="22" eb="24">
      <t>コンゴ</t>
    </rPh>
    <rPh sb="25" eb="27">
      <t>カカク</t>
    </rPh>
    <rPh sb="27" eb="29">
      <t>ヘンドウ</t>
    </rPh>
    <rPh sb="31" eb="33">
      <t>トリヒキ</t>
    </rPh>
    <rPh sb="33" eb="34">
      <t>トウ</t>
    </rPh>
    <rPh sb="38" eb="40">
      <t>ヘンカン</t>
    </rPh>
    <rPh sb="40" eb="43">
      <t>カノウガク</t>
    </rPh>
    <rPh sb="44" eb="45">
      <t>カ</t>
    </rPh>
    <phoneticPr fontId="3"/>
  </si>
  <si>
    <t>残高照合通知書</t>
    <rPh sb="0" eb="2">
      <t>ザンダカ</t>
    </rPh>
    <rPh sb="2" eb="4">
      <t>ショウゴウ</t>
    </rPh>
    <rPh sb="4" eb="7">
      <t>ツウチショ</t>
    </rPh>
    <phoneticPr fontId="3"/>
  </si>
  <si>
    <t xml:space="preserve">      尚、内容にご不明な点・相違点がございましたら、直ちに当社管理部（06-6208-2607）へご連絡下さい。</t>
    <rPh sb="6" eb="7">
      <t>ナオ</t>
    </rPh>
    <rPh sb="8" eb="10">
      <t>ナイヨウ</t>
    </rPh>
    <rPh sb="12" eb="14">
      <t>フメイ</t>
    </rPh>
    <rPh sb="15" eb="16">
      <t>テン</t>
    </rPh>
    <rPh sb="17" eb="20">
      <t>ソウイテン</t>
    </rPh>
    <rPh sb="29" eb="30">
      <t>タダ</t>
    </rPh>
    <rPh sb="32" eb="34">
      <t>トウシャ</t>
    </rPh>
    <rPh sb="34" eb="36">
      <t>カンリ</t>
    </rPh>
    <rPh sb="36" eb="37">
      <t>ブ</t>
    </rPh>
    <rPh sb="53" eb="55">
      <t>レンラク</t>
    </rPh>
    <rPh sb="55" eb="56">
      <t>クダ</t>
    </rPh>
    <phoneticPr fontId="3"/>
  </si>
  <si>
    <t xml:space="preserve">   </t>
    <phoneticPr fontId="3"/>
  </si>
  <si>
    <t>スワップ累計  ③</t>
    <rPh sb="4" eb="6">
      <t>ルイケイ</t>
    </rPh>
    <phoneticPr fontId="3"/>
  </si>
  <si>
    <t>差引損益金　③　　　</t>
    <rPh sb="0" eb="2">
      <t>サシヒキ</t>
    </rPh>
    <rPh sb="2" eb="4">
      <t>ソンエキ</t>
    </rPh>
    <rPh sb="4" eb="5">
      <t>キン</t>
    </rPh>
    <phoneticPr fontId="3"/>
  </si>
  <si>
    <t>取引保証金</t>
    <rPh sb="0" eb="2">
      <t>トリヒキ</t>
    </rPh>
    <rPh sb="2" eb="5">
      <t>ホショウキン</t>
    </rPh>
    <phoneticPr fontId="3"/>
  </si>
  <si>
    <t>マージンコール</t>
    <phoneticPr fontId="3"/>
  </si>
  <si>
    <t xml:space="preserve">差損益(外貨)の計算式 </t>
    <phoneticPr fontId="3"/>
  </si>
  <si>
    <t xml:space="preserve">(買)の場合(基準値段－約定値段)×数量×倍率    </t>
    <phoneticPr fontId="3"/>
  </si>
  <si>
    <t xml:space="preserve">(売)の場合(約定値段－基準値段)×数量×倍率    </t>
    <phoneticPr fontId="3"/>
  </si>
  <si>
    <t xml:space="preserve">     </t>
    <phoneticPr fontId="3"/>
  </si>
  <si>
    <t>約定値段</t>
    <rPh sb="0" eb="2">
      <t>ヤクジョウ</t>
    </rPh>
    <rPh sb="2" eb="4">
      <t>ネダン</t>
    </rPh>
    <phoneticPr fontId="3"/>
  </si>
  <si>
    <t>基準
値段</t>
    <rPh sb="0" eb="2">
      <t>キジュン</t>
    </rPh>
    <rPh sb="3" eb="5">
      <t>ネダン</t>
    </rPh>
    <phoneticPr fontId="3"/>
  </si>
  <si>
    <t>差損益
 (外貨) ※</t>
    <rPh sb="0" eb="3">
      <t>サソンエキ</t>
    </rPh>
    <rPh sb="6" eb="8">
      <t>ガイカ</t>
    </rPh>
    <phoneticPr fontId="3"/>
  </si>
  <si>
    <t xml:space="preserve">     値洗差損益
(円貨) </t>
    <rPh sb="5" eb="6">
      <t>ネ</t>
    </rPh>
    <rPh sb="6" eb="7">
      <t>ススグ</t>
    </rPh>
    <rPh sb="7" eb="10">
      <t>サソンエキ</t>
    </rPh>
    <rPh sb="12" eb="14">
      <t>エンカ</t>
    </rPh>
    <phoneticPr fontId="3"/>
  </si>
  <si>
    <t>委託手数料</t>
    <rPh sb="0" eb="2">
      <t>イタク</t>
    </rPh>
    <rPh sb="2" eb="4">
      <t>テスウ</t>
    </rPh>
    <rPh sb="4" eb="5">
      <t>リョウ</t>
    </rPh>
    <phoneticPr fontId="3"/>
  </si>
  <si>
    <t xml:space="preserve">取引損益金
</t>
    <rPh sb="0" eb="2">
      <t>トリヒキ</t>
    </rPh>
    <rPh sb="2" eb="4">
      <t>ソンエキ</t>
    </rPh>
    <rPh sb="4" eb="5">
      <t>キン</t>
    </rPh>
    <phoneticPr fontId="3"/>
  </si>
  <si>
    <t>お預り保証金　②</t>
    <rPh sb="1" eb="2">
      <t>アズカ</t>
    </rPh>
    <phoneticPr fontId="3"/>
  </si>
  <si>
    <t>差引損益金　③　　　　</t>
    <rPh sb="0" eb="1">
      <t>サ</t>
    </rPh>
    <rPh sb="1" eb="2">
      <t>ヒ</t>
    </rPh>
    <rPh sb="2" eb="4">
      <t>ソンエキ</t>
    </rPh>
    <rPh sb="4" eb="5">
      <t>キン</t>
    </rPh>
    <phoneticPr fontId="3"/>
  </si>
  <si>
    <t>マージンコール</t>
  </si>
  <si>
    <t>残高照合通知書(返信）</t>
    <rPh sb="0" eb="2">
      <t>ザンダカ</t>
    </rPh>
    <rPh sb="2" eb="4">
      <t>ショウゴウ</t>
    </rPh>
    <rPh sb="4" eb="7">
      <t>ツウチショ</t>
    </rPh>
    <rPh sb="8" eb="10">
      <t>ヘンシン</t>
    </rPh>
    <phoneticPr fontId="3"/>
  </si>
  <si>
    <t>差引損益金　③</t>
    <rPh sb="0" eb="2">
      <t>サシヒキ</t>
    </rPh>
    <rPh sb="2" eb="4">
      <t>ソンエキ</t>
    </rPh>
    <rPh sb="4" eb="5">
      <t>キン</t>
    </rPh>
    <phoneticPr fontId="3"/>
  </si>
  <si>
    <t>【回答欄】</t>
    <rPh sb="1" eb="2">
      <t>カイ</t>
    </rPh>
    <rPh sb="2" eb="3">
      <t>コタ</t>
    </rPh>
    <rPh sb="3" eb="4">
      <t>ラン</t>
    </rPh>
    <phoneticPr fontId="3"/>
  </si>
  <si>
    <t>　　１.　当書面に相違ありません</t>
    <rPh sb="5" eb="6">
      <t>トウ</t>
    </rPh>
    <rPh sb="6" eb="8">
      <t>ショメン</t>
    </rPh>
    <rPh sb="9" eb="11">
      <t>ソウイ</t>
    </rPh>
    <phoneticPr fontId="3"/>
  </si>
  <si>
    <t>　　２.　上記事項に相違又は不明な点があります。調査の上回答願います。</t>
    <rPh sb="5" eb="7">
      <t>ジョウキ</t>
    </rPh>
    <rPh sb="7" eb="9">
      <t>ジコウ</t>
    </rPh>
    <rPh sb="10" eb="12">
      <t>ソウイ</t>
    </rPh>
    <rPh sb="12" eb="13">
      <t>マタ</t>
    </rPh>
    <rPh sb="14" eb="16">
      <t>フメイ</t>
    </rPh>
    <rPh sb="17" eb="18">
      <t>テン</t>
    </rPh>
    <rPh sb="24" eb="26">
      <t>チョウサ</t>
    </rPh>
    <rPh sb="27" eb="28">
      <t>ウエ</t>
    </rPh>
    <rPh sb="28" eb="30">
      <t>カイトウ</t>
    </rPh>
    <rPh sb="30" eb="31">
      <t>ネガ</t>
    </rPh>
    <phoneticPr fontId="3"/>
  </si>
  <si>
    <t>　　　[　　　　　　　　　　　　　　　　　　　　　　　　　　　　　　　　　　　　　　　　　　　　　　　　　　　　　　　　　　　　　　　　　　　]</t>
    <phoneticPr fontId="3"/>
  </si>
  <si>
    <t>ご確認日</t>
    <rPh sb="1" eb="3">
      <t>カクニン</t>
    </rPh>
    <rPh sb="3" eb="4">
      <t>ビ</t>
    </rPh>
    <phoneticPr fontId="3"/>
  </si>
  <si>
    <t xml:space="preserve">　　　　　　年　　　　　月　　　　　日 </t>
    <rPh sb="6" eb="7">
      <t>ネン</t>
    </rPh>
    <rPh sb="12" eb="13">
      <t>ツキ</t>
    </rPh>
    <rPh sb="18" eb="19">
      <t>ニチ</t>
    </rPh>
    <phoneticPr fontId="3"/>
  </si>
  <si>
    <t>ご 署 名</t>
    <rPh sb="2" eb="3">
      <t>ショ</t>
    </rPh>
    <rPh sb="4" eb="5">
      <t>メイ</t>
    </rPh>
    <phoneticPr fontId="3"/>
  </si>
  <si>
    <t>　　　　　　　　　　　　　　　　　　　　　　　　　　　　　　　　　　　　　　　　　㊞</t>
    <phoneticPr fontId="3"/>
  </si>
  <si>
    <t>差引損益金　③</t>
    <rPh sb="0" eb="1">
      <t>サ</t>
    </rPh>
    <rPh sb="1" eb="2">
      <t>ヒ</t>
    </rPh>
    <rPh sb="2" eb="4">
      <t>ソンエキ</t>
    </rPh>
    <rPh sb="4" eb="5">
      <t>キン</t>
    </rPh>
    <phoneticPr fontId="3"/>
  </si>
  <si>
    <t>(No． 1 )</t>
    <phoneticPr fontId="3"/>
  </si>
  <si>
    <t>LGトレード 売買報告書及び売買計算書</t>
    <phoneticPr fontId="3"/>
  </si>
  <si>
    <t>　　毎々格別なるお引き立てを賜り厚く御礼申し上げます。</t>
    <rPh sb="2" eb="4">
      <t>マイマイ</t>
    </rPh>
    <rPh sb="4" eb="6">
      <t>カクベツ</t>
    </rPh>
    <rPh sb="9" eb="10">
      <t>ヒ</t>
    </rPh>
    <rPh sb="11" eb="12">
      <t>タ</t>
    </rPh>
    <rPh sb="14" eb="15">
      <t>タマワ</t>
    </rPh>
    <rPh sb="16" eb="17">
      <t>アツ</t>
    </rPh>
    <rPh sb="18" eb="20">
      <t>オンレイ</t>
    </rPh>
    <rPh sb="20" eb="21">
      <t>モウ</t>
    </rPh>
    <rPh sb="22" eb="23">
      <t>ア</t>
    </rPh>
    <phoneticPr fontId="3"/>
  </si>
  <si>
    <t>　 さて、早速ではございますが貴殿からご指示頂きました売買注文が下記の通り成立致しましたのでご報告申し上げます。</t>
    <rPh sb="5" eb="7">
      <t>サッソク</t>
    </rPh>
    <rPh sb="15" eb="17">
      <t>キデン</t>
    </rPh>
    <rPh sb="20" eb="22">
      <t>シジ</t>
    </rPh>
    <rPh sb="22" eb="23">
      <t>イタダ</t>
    </rPh>
    <rPh sb="27" eb="29">
      <t>バイバイ</t>
    </rPh>
    <rPh sb="29" eb="31">
      <t>チュウモン</t>
    </rPh>
    <rPh sb="32" eb="34">
      <t>カキ</t>
    </rPh>
    <rPh sb="35" eb="36">
      <t>トオ</t>
    </rPh>
    <phoneticPr fontId="3"/>
  </si>
  <si>
    <t>取引日</t>
    <rPh sb="0" eb="2">
      <t>トリヒキ</t>
    </rPh>
    <rPh sb="2" eb="3">
      <t>ビ</t>
    </rPh>
    <phoneticPr fontId="3"/>
  </si>
  <si>
    <t>　尚、内容にご不明な点・相違点がございましたら、直ちに当社管理部(06-XXXX-XXXX)へご連絡下さい。</t>
    <rPh sb="1" eb="2">
      <t>ナオ</t>
    </rPh>
    <rPh sb="3" eb="5">
      <t>ナイヨウ</t>
    </rPh>
    <rPh sb="7" eb="9">
      <t>フメイ</t>
    </rPh>
    <rPh sb="10" eb="11">
      <t>テン</t>
    </rPh>
    <rPh sb="12" eb="15">
      <t>ソウイテン</t>
    </rPh>
    <rPh sb="24" eb="25">
      <t>タダ</t>
    </rPh>
    <rPh sb="27" eb="29">
      <t>トウシャ</t>
    </rPh>
    <rPh sb="29" eb="31">
      <t>カンリ</t>
    </rPh>
    <rPh sb="31" eb="32">
      <t>ブ</t>
    </rPh>
    <phoneticPr fontId="3"/>
  </si>
  <si>
    <t>【本日のお取引内容】</t>
    <rPh sb="1" eb="3">
      <t>ホンジツ</t>
    </rPh>
    <rPh sb="5" eb="7">
      <t>トリヒキ</t>
    </rPh>
    <rPh sb="7" eb="9">
      <t>ナイヨウ</t>
    </rPh>
    <phoneticPr fontId="3"/>
  </si>
  <si>
    <t>報       告       書</t>
    <rPh sb="0" eb="1">
      <t>ホウ</t>
    </rPh>
    <rPh sb="8" eb="9">
      <t>コク</t>
    </rPh>
    <rPh sb="16" eb="17">
      <t>ショ</t>
    </rPh>
    <phoneticPr fontId="3"/>
  </si>
  <si>
    <t>仕     切     玉</t>
    <rPh sb="0" eb="1">
      <t>ツコウ</t>
    </rPh>
    <rPh sb="6" eb="7">
      <t>キリ</t>
    </rPh>
    <rPh sb="12" eb="13">
      <t>ギョク</t>
    </rPh>
    <phoneticPr fontId="3"/>
  </si>
  <si>
    <t>計          算          書</t>
    <rPh sb="0" eb="1">
      <t>ケイ</t>
    </rPh>
    <rPh sb="11" eb="12">
      <t>ザン</t>
    </rPh>
    <rPh sb="22" eb="23">
      <t>ショ</t>
    </rPh>
    <phoneticPr fontId="3"/>
  </si>
  <si>
    <t>取引所   限月
商品銘柄</t>
    <rPh sb="0" eb="2">
      <t>トリヒキ</t>
    </rPh>
    <rPh sb="2" eb="3">
      <t>ショ</t>
    </rPh>
    <rPh sb="6" eb="7">
      <t>ゲン</t>
    </rPh>
    <rPh sb="7" eb="8">
      <t>ゲツ</t>
    </rPh>
    <rPh sb="9" eb="10">
      <t>ショウ</t>
    </rPh>
    <rPh sb="10" eb="11">
      <t>ヒン</t>
    </rPh>
    <rPh sb="11" eb="13">
      <t>メイガラ</t>
    </rPh>
    <phoneticPr fontId="3"/>
  </si>
  <si>
    <t>新規・仕切</t>
    <rPh sb="0" eb="2">
      <t>シンキ</t>
    </rPh>
    <rPh sb="3" eb="5">
      <t>シキ</t>
    </rPh>
    <phoneticPr fontId="3"/>
  </si>
  <si>
    <t>総約定代金
(外貨) ※</t>
    <rPh sb="0" eb="1">
      <t>ソウ</t>
    </rPh>
    <rPh sb="1" eb="3">
      <t>ヤクジョウ</t>
    </rPh>
    <rPh sb="3" eb="5">
      <t>ダイキン</t>
    </rPh>
    <rPh sb="7" eb="9">
      <t>ガイカ</t>
    </rPh>
    <phoneticPr fontId="3"/>
  </si>
  <si>
    <t>約定年月日</t>
    <phoneticPr fontId="3"/>
  </si>
  <si>
    <t>売買差損益
(外貨) ※</t>
    <rPh sb="0" eb="2">
      <t>バイバイ</t>
    </rPh>
    <rPh sb="2" eb="5">
      <t>サソンエキ</t>
    </rPh>
    <rPh sb="7" eb="9">
      <t>ガイカ</t>
    </rPh>
    <phoneticPr fontId="3"/>
  </si>
  <si>
    <t>為 替
レート</t>
    <rPh sb="0" eb="1">
      <t>タメ</t>
    </rPh>
    <rPh sb="2" eb="3">
      <t>タイ</t>
    </rPh>
    <phoneticPr fontId="3"/>
  </si>
  <si>
    <t>売買差損益
(円貨) ①</t>
    <rPh sb="7" eb="8">
      <t>エン</t>
    </rPh>
    <phoneticPr fontId="3"/>
  </si>
  <si>
    <t>差引損益金
①-②</t>
    <rPh sb="0" eb="2">
      <t>サシヒキ</t>
    </rPh>
    <rPh sb="2" eb="4">
      <t>ソンエキ</t>
    </rPh>
    <rPh sb="4" eb="5">
      <t>キン</t>
    </rPh>
    <phoneticPr fontId="3"/>
  </si>
  <si>
    <t>CBOT  2005/09
アルミニュウム</t>
    <phoneticPr fontId="3"/>
  </si>
  <si>
    <t>新規</t>
    <rPh sb="0" eb="2">
      <t>シンキ</t>
    </rPh>
    <phoneticPr fontId="3"/>
  </si>
  <si>
    <t>本日のお取引合計</t>
    <rPh sb="0" eb="2">
      <t>ホンジツ</t>
    </rPh>
    <rPh sb="4" eb="6">
      <t>トリヒキ</t>
    </rPh>
    <rPh sb="6" eb="8">
      <t>ゴウケイ</t>
    </rPh>
    <phoneticPr fontId="3"/>
  </si>
  <si>
    <t>返還可能額は、本通知書作成日現在におけるお預り委託保証金から委託保証金必要額を差し引いた金額に差引損益金を加減した金額です。</t>
    <rPh sb="0" eb="2">
      <t>ヘンカン</t>
    </rPh>
    <rPh sb="2" eb="5">
      <t>カノウガク</t>
    </rPh>
    <rPh sb="7" eb="8">
      <t>ホン</t>
    </rPh>
    <rPh sb="8" eb="11">
      <t>ツウチショ</t>
    </rPh>
    <rPh sb="11" eb="14">
      <t>サクセイビ</t>
    </rPh>
    <rPh sb="14" eb="16">
      <t>ゲンザイ</t>
    </rPh>
    <rPh sb="21" eb="22">
      <t>アズカ</t>
    </rPh>
    <rPh sb="23" eb="25">
      <t>イタク</t>
    </rPh>
    <rPh sb="30" eb="32">
      <t>イタク</t>
    </rPh>
    <rPh sb="35" eb="37">
      <t>ヒツヨウ</t>
    </rPh>
    <rPh sb="37" eb="38">
      <t>ガク</t>
    </rPh>
    <rPh sb="39" eb="40">
      <t>サ</t>
    </rPh>
    <rPh sb="41" eb="42">
      <t>ヒ</t>
    </rPh>
    <rPh sb="44" eb="46">
      <t>キンガク</t>
    </rPh>
    <rPh sb="47" eb="49">
      <t>サシヒキ</t>
    </rPh>
    <rPh sb="49" eb="51">
      <t>ソンエキ</t>
    </rPh>
    <rPh sb="51" eb="52">
      <t>キン</t>
    </rPh>
    <phoneticPr fontId="3"/>
  </si>
  <si>
    <t>総約定代金
(外貨)</t>
    <phoneticPr fontId="3"/>
  </si>
  <si>
    <t>正</t>
    <phoneticPr fontId="3"/>
  </si>
  <si>
    <t>売買報告書及び売買計算書</t>
    <phoneticPr fontId="3"/>
  </si>
  <si>
    <t>　尚、内容にご不明な点・相違点がございましたら、直ちに当社管理部(06-6208-2607)へご連絡下さい。</t>
    <rPh sb="1" eb="2">
      <t>ナオ</t>
    </rPh>
    <rPh sb="3" eb="5">
      <t>ナイヨウ</t>
    </rPh>
    <rPh sb="7" eb="9">
      <t>フメイ</t>
    </rPh>
    <rPh sb="10" eb="11">
      <t>テン</t>
    </rPh>
    <rPh sb="12" eb="15">
      <t>ソウイテン</t>
    </rPh>
    <rPh sb="24" eb="25">
      <t>タダ</t>
    </rPh>
    <rPh sb="27" eb="29">
      <t>トウシャ</t>
    </rPh>
    <rPh sb="29" eb="31">
      <t>カンリ</t>
    </rPh>
    <rPh sb="31" eb="32">
      <t>ブ</t>
    </rPh>
    <phoneticPr fontId="3"/>
  </si>
  <si>
    <t>取引商品</t>
    <rPh sb="0" eb="2">
      <t>トリヒキ</t>
    </rPh>
    <rPh sb="2" eb="3">
      <t>ショウ</t>
    </rPh>
    <rPh sb="3" eb="4">
      <t>ヒン</t>
    </rPh>
    <phoneticPr fontId="3"/>
  </si>
  <si>
    <t>総約定代金
(外貨) ※</t>
    <phoneticPr fontId="3"/>
  </si>
  <si>
    <t>本日のお取引合計</t>
  </si>
  <si>
    <t>取引日時</t>
    <rPh sb="0" eb="2">
      <t>トリヒキ</t>
    </rPh>
    <rPh sb="2" eb="4">
      <t>ニチジ</t>
    </rPh>
    <phoneticPr fontId="3"/>
  </si>
  <si>
    <t>TEL</t>
    <phoneticPr fontId="3"/>
  </si>
  <si>
    <t>06-1234-5678</t>
    <phoneticPr fontId="3"/>
  </si>
  <si>
    <t>損益金合計</t>
    <rPh sb="0" eb="2">
      <t>ソンエキ</t>
    </rPh>
    <rPh sb="2" eb="3">
      <t>キン</t>
    </rPh>
    <rPh sb="3" eb="5">
      <t>ゴウケイ</t>
    </rPh>
    <phoneticPr fontId="3"/>
  </si>
  <si>
    <t>顧客ID</t>
    <rPh sb="0" eb="2">
      <t>コキャク</t>
    </rPh>
    <phoneticPr fontId="3"/>
  </si>
  <si>
    <t>勤務先TEL</t>
    <rPh sb="0" eb="3">
      <t>キンムサキ</t>
    </rPh>
    <phoneticPr fontId="3"/>
  </si>
  <si>
    <t>取引証拠金必要額</t>
    <rPh sb="0" eb="2">
      <t>トリヒキ</t>
    </rPh>
    <rPh sb="2" eb="5">
      <t>ショウコキン</t>
    </rPh>
    <rPh sb="5" eb="7">
      <t>ヒツヨウ</t>
    </rPh>
    <rPh sb="7" eb="8">
      <t>ガク</t>
    </rPh>
    <phoneticPr fontId="3"/>
  </si>
  <si>
    <t>株式会社ミリオンスタイル</t>
    <rPh sb="0" eb="1">
      <t>カブ</t>
    </rPh>
    <rPh sb="1" eb="2">
      <t>シキ</t>
    </rPh>
    <rPh sb="2" eb="4">
      <t>カイシャ</t>
    </rPh>
    <phoneticPr fontId="3"/>
  </si>
  <si>
    <t>携帯番号</t>
    <rPh sb="0" eb="2">
      <t>ケイタイ</t>
    </rPh>
    <rPh sb="2" eb="4">
      <t>バンゴウ</t>
    </rPh>
    <phoneticPr fontId="3"/>
  </si>
  <si>
    <t>090-1234-5678</t>
    <phoneticPr fontId="3"/>
  </si>
  <si>
    <t>売買
区分</t>
    <rPh sb="0" eb="2">
      <t>バイバイ</t>
    </rPh>
    <rPh sb="3" eb="5">
      <t>クブン</t>
    </rPh>
    <phoneticPr fontId="3"/>
  </si>
  <si>
    <t>種別</t>
    <rPh sb="0" eb="2">
      <t>シュベツ</t>
    </rPh>
    <phoneticPr fontId="3"/>
  </si>
  <si>
    <t>消費税</t>
    <rPh sb="0" eb="2">
      <t>ショウヒ</t>
    </rPh>
    <rPh sb="2" eb="3">
      <t>ゼイ</t>
    </rPh>
    <phoneticPr fontId="3"/>
  </si>
  <si>
    <t>(No. 1 )</t>
    <phoneticPr fontId="3"/>
  </si>
  <si>
    <t>名前</t>
    <rPh sb="0" eb="2">
      <t>ナマエ</t>
    </rPh>
    <phoneticPr fontId="3"/>
  </si>
  <si>
    <t>石川　政信</t>
    <rPh sb="0" eb="1">
      <t>イシ</t>
    </rPh>
    <rPh sb="1" eb="2">
      <t>カワ</t>
    </rPh>
    <rPh sb="3" eb="5">
      <t>マサノブ</t>
    </rPh>
    <phoneticPr fontId="3"/>
  </si>
  <si>
    <t>商　い　履　歴</t>
    <rPh sb="0" eb="1">
      <t>アキナ</t>
    </rPh>
    <rPh sb="4" eb="5">
      <t>クツ</t>
    </rPh>
    <rPh sb="6" eb="7">
      <t>レキ</t>
    </rPh>
    <phoneticPr fontId="3"/>
  </si>
  <si>
    <t>（Ｎｏ．１）</t>
    <phoneticPr fontId="3"/>
  </si>
  <si>
    <t>LGトレード　証拠金等不足金額請求書</t>
    <rPh sb="7" eb="10">
      <t>ショウコキン</t>
    </rPh>
    <rPh sb="10" eb="11">
      <t>トウ</t>
    </rPh>
    <rPh sb="11" eb="13">
      <t>フソク</t>
    </rPh>
    <rPh sb="13" eb="15">
      <t>キンガク</t>
    </rPh>
    <rPh sb="15" eb="18">
      <t>セイキュウショ</t>
    </rPh>
    <phoneticPr fontId="3"/>
  </si>
  <si>
    <t>　　　　さて、早速ですが貴殿の下記建玉に対して不足金が発生しておりますのでご入金の程お願い申し上げます。</t>
    <rPh sb="7" eb="9">
      <t>サッソク</t>
    </rPh>
    <rPh sb="12" eb="14">
      <t>キデン</t>
    </rPh>
    <rPh sb="15" eb="17">
      <t>カキ</t>
    </rPh>
    <rPh sb="17" eb="18">
      <t>ダテ</t>
    </rPh>
    <rPh sb="18" eb="19">
      <t>タマ</t>
    </rPh>
    <rPh sb="20" eb="21">
      <t>タイ</t>
    </rPh>
    <rPh sb="23" eb="25">
      <t>フソク</t>
    </rPh>
    <rPh sb="25" eb="26">
      <t>カネ</t>
    </rPh>
    <rPh sb="27" eb="29">
      <t>ハッセイ</t>
    </rPh>
    <rPh sb="38" eb="40">
      <t>ニュウキン</t>
    </rPh>
    <rPh sb="41" eb="42">
      <t>ホド</t>
    </rPh>
    <rPh sb="43" eb="44">
      <t>ネガ</t>
    </rPh>
    <rPh sb="45" eb="46">
      <t>モウ</t>
    </rPh>
    <rPh sb="47" eb="48">
      <t>ア</t>
    </rPh>
    <phoneticPr fontId="3"/>
  </si>
  <si>
    <t>　　　万一、所定の期間迄にご入金がない場合、建玉の全部又は一部を決済させて頂くことがありますので、予めご了承下さい。</t>
    <phoneticPr fontId="3"/>
  </si>
  <si>
    <t>　　　尚、本請求書と行き違いにご預託済の際は何卒ご容赦下さい。</t>
    <phoneticPr fontId="3"/>
  </si>
  <si>
    <t>【ご請求金額】</t>
    <rPh sb="2" eb="4">
      <t>セイキュウ</t>
    </rPh>
    <rPh sb="4" eb="6">
      <t>キンガク</t>
    </rPh>
    <phoneticPr fontId="3"/>
  </si>
  <si>
    <t>【ご入金期日】</t>
    <rPh sb="2" eb="4">
      <t>ニュウキン</t>
    </rPh>
    <rPh sb="4" eb="6">
      <t>キジツ</t>
    </rPh>
    <phoneticPr fontId="3"/>
  </si>
  <si>
    <t>円</t>
    <rPh sb="0" eb="1">
      <t>エン</t>
    </rPh>
    <phoneticPr fontId="3"/>
  </si>
  <si>
    <t>迄</t>
    <rPh sb="0" eb="1">
      <t>マデ</t>
    </rPh>
    <phoneticPr fontId="3"/>
  </si>
  <si>
    <t>委託保証金必要額　①</t>
    <rPh sb="0" eb="2">
      <t>イタク</t>
    </rPh>
    <rPh sb="2" eb="4">
      <t>ホショウ</t>
    </rPh>
    <rPh sb="4" eb="5">
      <t>キン</t>
    </rPh>
    <rPh sb="5" eb="7">
      <t>ヒツヨウ</t>
    </rPh>
    <rPh sb="7" eb="8">
      <t>ガク</t>
    </rPh>
    <phoneticPr fontId="3"/>
  </si>
  <si>
    <t>差引損益金　③</t>
    <phoneticPr fontId="3"/>
  </si>
  <si>
    <t>不足金額</t>
    <rPh sb="0" eb="2">
      <t>ブソク</t>
    </rPh>
    <phoneticPr fontId="3"/>
  </si>
  <si>
    <t>追加証拠金</t>
    <rPh sb="0" eb="2">
      <t>ツイカ</t>
    </rPh>
    <rPh sb="2" eb="5">
      <t>ショウコキン</t>
    </rPh>
    <phoneticPr fontId="3"/>
  </si>
  <si>
    <t>約定値段 ※</t>
    <phoneticPr fontId="3"/>
  </si>
  <si>
    <t>値洗
基準値段 ※</t>
    <rPh sb="0" eb="1">
      <t>ネ</t>
    </rPh>
    <rPh sb="1" eb="2">
      <t>アラ</t>
    </rPh>
    <rPh sb="3" eb="5">
      <t>キジュン</t>
    </rPh>
    <rPh sb="5" eb="7">
      <t>ネダン</t>
    </rPh>
    <phoneticPr fontId="3"/>
  </si>
  <si>
    <t>値洗差損益
 (外貨) ※</t>
    <phoneticPr fontId="3"/>
  </si>
  <si>
    <t>仮為替
レート</t>
    <phoneticPr fontId="3"/>
  </si>
  <si>
    <t>値洗差損益
(円貨) ①</t>
    <rPh sb="0" eb="1">
      <t>ネ</t>
    </rPh>
    <rPh sb="1" eb="2">
      <t>ススグ</t>
    </rPh>
    <rPh sb="2" eb="5">
      <t>サソンエキ</t>
    </rPh>
    <rPh sb="7" eb="9">
      <t>エンカ</t>
    </rPh>
    <phoneticPr fontId="3"/>
  </si>
  <si>
    <t>委託
手数料②</t>
    <rPh sb="0" eb="2">
      <t>イタク</t>
    </rPh>
    <rPh sb="3" eb="5">
      <t>テスウ</t>
    </rPh>
    <rPh sb="5" eb="6">
      <t>リョウ</t>
    </rPh>
    <phoneticPr fontId="3"/>
  </si>
  <si>
    <t>不足金額は、本請求書作成日現在におけるお預り委託保証金から委託必要保証金額を差し引いた金額に差引損益金を</t>
    <rPh sb="0" eb="2">
      <t>フソク</t>
    </rPh>
    <rPh sb="2" eb="4">
      <t>キンガク</t>
    </rPh>
    <rPh sb="6" eb="7">
      <t>ホン</t>
    </rPh>
    <rPh sb="7" eb="10">
      <t>セイキュウショ</t>
    </rPh>
    <rPh sb="10" eb="13">
      <t>サクセイビ</t>
    </rPh>
    <rPh sb="13" eb="15">
      <t>ゲンザイ</t>
    </rPh>
    <rPh sb="20" eb="21">
      <t>アズカ</t>
    </rPh>
    <rPh sb="22" eb="24">
      <t>イタク</t>
    </rPh>
    <rPh sb="29" eb="31">
      <t>イタク</t>
    </rPh>
    <rPh sb="31" eb="33">
      <t>ヒツヨウ</t>
    </rPh>
    <rPh sb="33" eb="35">
      <t>ホショウ</t>
    </rPh>
    <rPh sb="35" eb="37">
      <t>キンガク</t>
    </rPh>
    <rPh sb="38" eb="39">
      <t>サ</t>
    </rPh>
    <rPh sb="40" eb="41">
      <t>ヒ</t>
    </rPh>
    <rPh sb="43" eb="45">
      <t>キンガク</t>
    </rPh>
    <rPh sb="46" eb="48">
      <t>サシヒキ</t>
    </rPh>
    <rPh sb="48" eb="50">
      <t>ソンエキ</t>
    </rPh>
    <rPh sb="50" eb="51">
      <t>キン</t>
    </rPh>
    <phoneticPr fontId="3"/>
  </si>
  <si>
    <t>加減した金額です。なお、金利残高は上記不足金額の計算に含まれておりませんので、ご承知下さい。</t>
    <rPh sb="0" eb="2">
      <t>カゲン</t>
    </rPh>
    <rPh sb="4" eb="6">
      <t>キンガク</t>
    </rPh>
    <rPh sb="17" eb="19">
      <t>ジョウキ</t>
    </rPh>
    <rPh sb="19" eb="21">
      <t>フソク</t>
    </rPh>
    <rPh sb="21" eb="23">
      <t>キンガク</t>
    </rPh>
    <rPh sb="24" eb="26">
      <t>ケイサン</t>
    </rPh>
    <rPh sb="27" eb="28">
      <t>フク</t>
    </rPh>
    <phoneticPr fontId="3"/>
  </si>
  <si>
    <t>GPI　保証金等不足金額請求書</t>
    <rPh sb="4" eb="7">
      <t>ホショウキン</t>
    </rPh>
    <rPh sb="7" eb="8">
      <t>トウ</t>
    </rPh>
    <rPh sb="8" eb="10">
      <t>フソク</t>
    </rPh>
    <rPh sb="10" eb="12">
      <t>キンガク</t>
    </rPh>
    <rPh sb="12" eb="15">
      <t>セイキュウショ</t>
    </rPh>
    <phoneticPr fontId="3"/>
  </si>
  <si>
    <t>差引損益金　④　　</t>
    <phoneticPr fontId="3"/>
  </si>
  <si>
    <t>②-①+③+④</t>
    <phoneticPr fontId="3"/>
  </si>
  <si>
    <t xml:space="preserve">    仮為替
     レート</t>
    <phoneticPr fontId="3"/>
  </si>
  <si>
    <t xml:space="preserve">    値洗差損益
(円貨)</t>
    <rPh sb="4" eb="5">
      <t>ネ</t>
    </rPh>
    <rPh sb="5" eb="6">
      <t>ススグ</t>
    </rPh>
    <rPh sb="6" eb="9">
      <t>サソンエキ</t>
    </rPh>
    <rPh sb="11" eb="13">
      <t>エンカ</t>
    </rPh>
    <phoneticPr fontId="3"/>
  </si>
  <si>
    <t>委託
手数料</t>
    <rPh sb="0" eb="2">
      <t>イタク</t>
    </rPh>
    <rPh sb="3" eb="5">
      <t>テスウ</t>
    </rPh>
    <rPh sb="5" eb="6">
      <t>リョウ</t>
    </rPh>
    <phoneticPr fontId="3"/>
  </si>
  <si>
    <t xml:space="preserve">仮差引損益金
</t>
    <rPh sb="0" eb="1">
      <t>カリ</t>
    </rPh>
    <rPh sb="1" eb="3">
      <t>サシヒキ</t>
    </rPh>
    <rPh sb="3" eb="5">
      <t>ソンエキ</t>
    </rPh>
    <rPh sb="5" eb="6">
      <t>キン</t>
    </rPh>
    <phoneticPr fontId="3"/>
  </si>
  <si>
    <t>GPI　証拠金等不足金額請求書</t>
    <phoneticPr fontId="3"/>
  </si>
  <si>
    <t>差引損益金　④</t>
    <phoneticPr fontId="3"/>
  </si>
  <si>
    <t>　　 拝啓 毎々格別なるお引き立てを賜り厚く御礼申し上げます。</t>
    <rPh sb="3" eb="5">
      <t>ハイケイ</t>
    </rPh>
    <rPh sb="6" eb="8">
      <t>マイマイ</t>
    </rPh>
    <rPh sb="8" eb="10">
      <t>カクベツ</t>
    </rPh>
    <rPh sb="13" eb="14">
      <t>ヒ</t>
    </rPh>
    <rPh sb="15" eb="16">
      <t>タ</t>
    </rPh>
    <rPh sb="18" eb="19">
      <t>タマワ</t>
    </rPh>
    <rPh sb="20" eb="21">
      <t>アツ</t>
    </rPh>
    <rPh sb="22" eb="24">
      <t>オンレイ</t>
    </rPh>
    <rPh sb="24" eb="25">
      <t>モウ</t>
    </rPh>
    <rPh sb="26" eb="27">
      <t>ア</t>
    </rPh>
    <phoneticPr fontId="3"/>
  </si>
  <si>
    <t>　　 さて、早速ではございますがお客様のご指示により、口座を解約致します事をご報告させて頂きます。</t>
    <rPh sb="6" eb="8">
      <t>サッソク</t>
    </rPh>
    <rPh sb="17" eb="19">
      <t>キャクサマ</t>
    </rPh>
    <rPh sb="21" eb="23">
      <t>シジ</t>
    </rPh>
    <rPh sb="27" eb="29">
      <t>コウザ</t>
    </rPh>
    <rPh sb="30" eb="33">
      <t>カイヤクイタ</t>
    </rPh>
    <rPh sb="36" eb="37">
      <t>コト</t>
    </rPh>
    <rPh sb="39" eb="41">
      <t>ホウコク</t>
    </rPh>
    <rPh sb="44" eb="45">
      <t>イタダ</t>
    </rPh>
    <phoneticPr fontId="3"/>
  </si>
  <si>
    <t>　   内容をご確認の上、お客様回答書のご署名欄に署名頂き、同封の封筒にてご返信頂けます様、お願い</t>
    <rPh sb="4" eb="6">
      <t>ナイヨウ</t>
    </rPh>
    <rPh sb="8" eb="10">
      <t>カクニン</t>
    </rPh>
    <rPh sb="11" eb="12">
      <t>ウエ</t>
    </rPh>
    <rPh sb="14" eb="16">
      <t>キャクサマ</t>
    </rPh>
    <rPh sb="16" eb="19">
      <t>カイトウショ</t>
    </rPh>
    <rPh sb="21" eb="23">
      <t>ショメイ</t>
    </rPh>
    <rPh sb="23" eb="24">
      <t>ラン</t>
    </rPh>
    <rPh sb="25" eb="27">
      <t>ショメイ</t>
    </rPh>
    <rPh sb="27" eb="28">
      <t>イタダ</t>
    </rPh>
    <rPh sb="30" eb="32">
      <t>ドウフウ</t>
    </rPh>
    <rPh sb="33" eb="35">
      <t>フウトウ</t>
    </rPh>
    <rPh sb="38" eb="40">
      <t>ヘンシン</t>
    </rPh>
    <rPh sb="40" eb="41">
      <t>イタダ</t>
    </rPh>
    <rPh sb="44" eb="45">
      <t>ヨウ</t>
    </rPh>
    <rPh sb="47" eb="48">
      <t>ネガ</t>
    </rPh>
    <phoneticPr fontId="3"/>
  </si>
  <si>
    <t>　 　申し上げます。</t>
    <rPh sb="3" eb="4">
      <t>モウ</t>
    </rPh>
    <rPh sb="5" eb="6">
      <t>ア</t>
    </rPh>
    <phoneticPr fontId="3"/>
  </si>
  <si>
    <t>　   なお、ご返送頂けない場合、解約日より1ヶ月を持ちましてご了承頂けたものとして、口座を解除いた</t>
    <rPh sb="8" eb="10">
      <t>ヘンソウ</t>
    </rPh>
    <rPh sb="10" eb="11">
      <t>イタダ</t>
    </rPh>
    <rPh sb="14" eb="16">
      <t>バアイ</t>
    </rPh>
    <rPh sb="17" eb="20">
      <t>カイヤクビ</t>
    </rPh>
    <rPh sb="24" eb="25">
      <t>ツキ</t>
    </rPh>
    <rPh sb="26" eb="27">
      <t>モ</t>
    </rPh>
    <rPh sb="32" eb="34">
      <t>リョウショウ</t>
    </rPh>
    <rPh sb="34" eb="35">
      <t>イタダ</t>
    </rPh>
    <rPh sb="43" eb="45">
      <t>コウザ</t>
    </rPh>
    <rPh sb="46" eb="48">
      <t>カイジョ</t>
    </rPh>
    <phoneticPr fontId="3"/>
  </si>
  <si>
    <t>　 　しますので、宜しくお願い申し上げます。</t>
    <rPh sb="9" eb="10">
      <t>ヨロ</t>
    </rPh>
    <rPh sb="13" eb="14">
      <t>ネガ</t>
    </rPh>
    <rPh sb="15" eb="16">
      <t>モウ</t>
    </rPh>
    <rPh sb="17" eb="18">
      <t>ア</t>
    </rPh>
    <phoneticPr fontId="3"/>
  </si>
  <si>
    <t>敬具</t>
    <rPh sb="0" eb="2">
      <t>ケイグ</t>
    </rPh>
    <phoneticPr fontId="3"/>
  </si>
  <si>
    <t>作成日</t>
    <rPh sb="0" eb="3">
      <t>サクセイビ</t>
    </rPh>
    <phoneticPr fontId="3"/>
  </si>
  <si>
    <t>解約確認書</t>
    <rPh sb="0" eb="2">
      <t>カイヤク</t>
    </rPh>
    <rPh sb="2" eb="5">
      <t>カクニンショ</t>
    </rPh>
    <phoneticPr fontId="3"/>
  </si>
  <si>
    <t>お客様情報</t>
    <rPh sb="1" eb="3">
      <t>キャクサマ</t>
    </rPh>
    <rPh sb="3" eb="5">
      <t>ジョウホウ</t>
    </rPh>
    <phoneticPr fontId="3"/>
  </si>
  <si>
    <r>
      <t>お客様番号　</t>
    </r>
    <r>
      <rPr>
        <sz val="11"/>
        <rFont val="ＭＳ Ｐゴシック"/>
        <family val="3"/>
        <charset val="128"/>
      </rPr>
      <t>：</t>
    </r>
    <rPh sb="1" eb="3">
      <t>キャクサマ</t>
    </rPh>
    <rPh sb="3" eb="5">
      <t>バンゴウ</t>
    </rPh>
    <phoneticPr fontId="3"/>
  </si>
  <si>
    <r>
      <rPr>
        <sz val="11"/>
        <rFont val="ＭＳ Ｐゴシック"/>
        <family val="3"/>
        <charset val="128"/>
      </rPr>
      <t>お客様名　</t>
    </r>
    <r>
      <rPr>
        <sz val="11"/>
        <rFont val="ＭＳ Ｐゴシック"/>
        <family val="3"/>
        <charset val="128"/>
      </rPr>
      <t>：</t>
    </r>
    <rPh sb="1" eb="3">
      <t>キャクサマ</t>
    </rPh>
    <rPh sb="3" eb="4">
      <t>メイ</t>
    </rPh>
    <phoneticPr fontId="3"/>
  </si>
  <si>
    <r>
      <rPr>
        <sz val="11"/>
        <rFont val="ＭＳ Ｐゴシック"/>
        <family val="3"/>
        <charset val="128"/>
      </rPr>
      <t xml:space="preserve">解 </t>
    </r>
    <r>
      <rPr>
        <sz val="11"/>
        <rFont val="ＭＳ Ｐゴシック"/>
        <family val="3"/>
        <charset val="128"/>
      </rPr>
      <t xml:space="preserve"> </t>
    </r>
    <r>
      <rPr>
        <sz val="11"/>
        <rFont val="ＭＳ Ｐゴシック"/>
        <family val="3"/>
        <charset val="128"/>
      </rPr>
      <t>約</t>
    </r>
    <r>
      <rPr>
        <sz val="11"/>
        <rFont val="ＭＳ Ｐゴシック"/>
        <family val="3"/>
        <charset val="128"/>
      </rPr>
      <t xml:space="preserve">  </t>
    </r>
    <r>
      <rPr>
        <sz val="11"/>
        <rFont val="ＭＳ Ｐゴシック"/>
        <family val="3"/>
        <charset val="128"/>
      </rPr>
      <t>日　</t>
    </r>
    <r>
      <rPr>
        <sz val="11"/>
        <rFont val="ＭＳ Ｐゴシック"/>
        <family val="3"/>
        <charset val="128"/>
      </rPr>
      <t>：</t>
    </r>
    <rPh sb="0" eb="1">
      <t>カイ</t>
    </rPh>
    <rPh sb="3" eb="4">
      <t>ヤク</t>
    </rPh>
    <rPh sb="6" eb="7">
      <t>ビ</t>
    </rPh>
    <phoneticPr fontId="3"/>
  </si>
  <si>
    <t>ご確認日</t>
    <rPh sb="1" eb="3">
      <t>カクニン</t>
    </rPh>
    <rPh sb="3" eb="4">
      <t>ヒ</t>
    </rPh>
    <phoneticPr fontId="3"/>
  </si>
  <si>
    <t>ご住所</t>
    <rPh sb="1" eb="3">
      <t>ジュウショ</t>
    </rPh>
    <phoneticPr fontId="3"/>
  </si>
  <si>
    <t xml:space="preserve">                  年       月       日</t>
    <rPh sb="18" eb="19">
      <t>ネン</t>
    </rPh>
    <rPh sb="26" eb="27">
      <t>ツキ</t>
    </rPh>
    <rPh sb="34" eb="35">
      <t>ヒ</t>
    </rPh>
    <phoneticPr fontId="3"/>
  </si>
  <si>
    <t>ご署名</t>
    <rPh sb="1" eb="3">
      <t>ショメイ</t>
    </rPh>
    <phoneticPr fontId="3"/>
  </si>
  <si>
    <t>㊞</t>
    <phoneticPr fontId="3"/>
  </si>
  <si>
    <t>(会社控え)</t>
    <rPh sb="1" eb="3">
      <t>カイシャ</t>
    </rPh>
    <rPh sb="3" eb="4">
      <t>ヒカ</t>
    </rPh>
    <phoneticPr fontId="3"/>
  </si>
  <si>
    <t>(お客様控え)</t>
    <rPh sb="2" eb="4">
      <t>キャクサマ</t>
    </rPh>
    <rPh sb="4" eb="5">
      <t>ヒカ</t>
    </rPh>
    <phoneticPr fontId="3"/>
  </si>
  <si>
    <t>　 内容をご確認の上、お客様回答書のご署名欄に署名頂き、同封の封筒にてご返信頂けます様、</t>
    <rPh sb="2" eb="4">
      <t>ナイヨウ</t>
    </rPh>
    <rPh sb="6" eb="8">
      <t>カクニン</t>
    </rPh>
    <rPh sb="9" eb="10">
      <t>ウエ</t>
    </rPh>
    <rPh sb="12" eb="14">
      <t>キャクサマ</t>
    </rPh>
    <rPh sb="14" eb="17">
      <t>カイトウショ</t>
    </rPh>
    <rPh sb="19" eb="21">
      <t>ショメイ</t>
    </rPh>
    <rPh sb="21" eb="22">
      <t>ラン</t>
    </rPh>
    <rPh sb="23" eb="25">
      <t>ショメイ</t>
    </rPh>
    <rPh sb="25" eb="26">
      <t>イタダ</t>
    </rPh>
    <rPh sb="28" eb="30">
      <t>ドウフウ</t>
    </rPh>
    <rPh sb="31" eb="33">
      <t>フウトウ</t>
    </rPh>
    <rPh sb="36" eb="38">
      <t>ヘンシン</t>
    </rPh>
    <rPh sb="38" eb="39">
      <t>イタダ</t>
    </rPh>
    <rPh sb="42" eb="43">
      <t>ヨウ</t>
    </rPh>
    <phoneticPr fontId="3"/>
  </si>
  <si>
    <t>　 お願い申し上げます。</t>
    <rPh sb="3" eb="4">
      <t>ネガ</t>
    </rPh>
    <rPh sb="5" eb="6">
      <t>モウ</t>
    </rPh>
    <rPh sb="7" eb="8">
      <t>ア</t>
    </rPh>
    <phoneticPr fontId="3"/>
  </si>
  <si>
    <t>　 なお、ご返送頂けない場合、解約日より1ヶ月を持ちましてご了承頂けたものとして、口座を解除</t>
    <rPh sb="6" eb="8">
      <t>ヘンソウ</t>
    </rPh>
    <rPh sb="8" eb="9">
      <t>イタダ</t>
    </rPh>
    <rPh sb="12" eb="14">
      <t>バアイ</t>
    </rPh>
    <rPh sb="15" eb="18">
      <t>カイヤクビ</t>
    </rPh>
    <rPh sb="22" eb="23">
      <t>ツキ</t>
    </rPh>
    <rPh sb="24" eb="25">
      <t>モ</t>
    </rPh>
    <rPh sb="30" eb="32">
      <t>リョウショウ</t>
    </rPh>
    <rPh sb="32" eb="33">
      <t>イタダ</t>
    </rPh>
    <rPh sb="41" eb="43">
      <t>コウザ</t>
    </rPh>
    <rPh sb="44" eb="46">
      <t>カイジョ</t>
    </rPh>
    <phoneticPr fontId="3"/>
  </si>
  <si>
    <t>　 いたしますので、宜しくお願い申し上げます。</t>
    <rPh sb="10" eb="11">
      <t>ヨロ</t>
    </rPh>
    <rPh sb="14" eb="15">
      <t>ネガ</t>
    </rPh>
    <rPh sb="16" eb="17">
      <t>モウ</t>
    </rPh>
    <rPh sb="18" eb="19">
      <t>ア</t>
    </rPh>
    <phoneticPr fontId="3"/>
  </si>
  <si>
    <t>お客様番号</t>
    <rPh sb="1" eb="3">
      <t>キャクサマ</t>
    </rPh>
    <rPh sb="3" eb="5">
      <t>バンゴウ</t>
    </rPh>
    <phoneticPr fontId="3"/>
  </si>
  <si>
    <t>お客様名</t>
    <rPh sb="1" eb="3">
      <t>キャクサマ</t>
    </rPh>
    <rPh sb="3" eb="4">
      <t>メイ</t>
    </rPh>
    <phoneticPr fontId="3"/>
  </si>
  <si>
    <t>解約日</t>
    <rPh sb="0" eb="2">
      <t>カイヤク</t>
    </rPh>
    <rPh sb="2" eb="3">
      <t>ビ</t>
    </rPh>
    <phoneticPr fontId="3"/>
  </si>
  <si>
    <t>　　　※解約時の内容を確認し、今後一切の異議申立は致しません。</t>
    <rPh sb="4" eb="6">
      <t>カイヤク</t>
    </rPh>
    <rPh sb="6" eb="7">
      <t>ジ</t>
    </rPh>
    <rPh sb="8" eb="10">
      <t>ナイヨウ</t>
    </rPh>
    <rPh sb="11" eb="13">
      <t>カクニン</t>
    </rPh>
    <rPh sb="15" eb="17">
      <t>コンゴ</t>
    </rPh>
    <rPh sb="17" eb="19">
      <t>イッサイ</t>
    </rPh>
    <rPh sb="20" eb="22">
      <t>イギ</t>
    </rPh>
    <rPh sb="22" eb="24">
      <t>モウシタテ</t>
    </rPh>
    <rPh sb="25" eb="26">
      <t>イタ</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</si>
</sst>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5" formatCode="&quot;¥&quot;#,##0;&quot;¥&quot;\-#,##0"/>
    <numFmt numFmtId="6" formatCode="&quot;¥&quot;#,##0;[Red]&quot;¥&quot;\-#,##0"/>
    <numFmt numFmtId="7" formatCode="&quot;¥&quot;#,##0.00;&quot;¥&quot;\-#,##0.00"/>
    <numFmt numFmtId="8" formatCode="&quot;¥&quot;#,##0.00;[Red]&quot;¥&quot;\-#,##0.00"/>
    <numFmt numFmtId="176" formatCode="#,##0_ "/>
    <numFmt numFmtId="177" formatCode="0_ "/>
    <numFmt numFmtId="178" formatCode="000"/>
    <numFmt numFmtId="179" formatCode="yyyy&quot;年&quot;m&quot;月&quot;d&quot;日&quot;;@"/>
    <numFmt numFmtId="180" formatCode="#,##0_ ;[Red]\-#,##0\ "/>
    <numFmt numFmtId="181" formatCode="#,##0_);[Red]\(#,##0\)"/>
    <numFmt numFmtId="182" formatCode="\(0\)"/>
    <numFmt numFmtId="183" formatCode="#;\-#;"/>
    <numFmt numFmtId="184" formatCode="#,##0.00_ ;[Red]\-#,##0.00\ "/>
    <numFmt numFmtId="185" formatCode="0.00_ "/>
    <numFmt numFmtId="186" formatCode="yyyy/mm/dd"/>
    <numFmt numFmtId="187" formatCode="#,##0.00_ "/>
    <numFmt numFmtId="188" formatCode="yyyy/mm/dd\ hh:mm"/>
    <numFmt numFmtId="189" formatCode="&quot;0&quot;;#,###;0"/>
    <numFmt numFmtId="190" formatCode="#,##0;[Red]#,##0"/>
    <numFmt numFmtId="191" formatCode="&quot;¥&quot;#,##0.00_);[Red]\(&quot;¥&quot;#,##0.00\)"/>
  </numFmts>
  <fonts count="23" x14ac:knownFonts="1">
    <font>
      <sz val="11"/>
      <name val="ＭＳ Ｐゴシック"/>
      <family val="3"/>
      <charset val="128"/>
    </font>
    <font>
      <sz val="11"/>
      <name val="ＭＳ Ｐゴシック"/>
      <family val="3"/>
      <charset val="128"/>
    </font>
    <font>
      <sz val="12"/>
      <name val="ＭＳ Ｐゴシック"/>
      <family val="3"/>
      <charset val="128"/>
    </font>
    <font>
      <sz val="6"/>
      <name val="ＭＳ Ｐゴシック"/>
      <family val="3"/>
      <charset val="128"/>
    </font>
    <font>
      <b/>
      <sz val="24"/>
      <name val="ＭＳ Ｐゴシック"/>
      <family val="3"/>
      <charset val="128"/>
    </font>
    <font>
      <b/>
      <sz val="14"/>
      <name val="ＭＳ Ｐゴシック"/>
      <family val="3"/>
      <charset val="128"/>
    </font>
    <font>
      <b/>
      <sz val="11"/>
      <name val="ＭＳ Ｐゴシック"/>
      <family val="3"/>
      <charset val="128"/>
    </font>
    <font>
      <sz val="14"/>
      <name val="ＭＳ Ｐゴシック"/>
      <family val="3"/>
      <charset val="128"/>
    </font>
    <font>
      <b/>
      <sz val="16"/>
      <name val="ＭＳ Ｐゴシック"/>
      <family val="3"/>
      <charset val="128"/>
    </font>
    <font>
      <b/>
      <sz val="9"/>
      <name val="ＭＳ Ｐゴシック"/>
      <family val="3"/>
      <charset val="128"/>
    </font>
    <font>
      <sz val="9"/>
      <name val="ＭＳ Ｐゴシック"/>
      <family val="3"/>
      <charset val="128"/>
    </font>
    <font>
      <sz val="10"/>
      <name val="ＭＳ Ｐゴシック"/>
      <family val="3"/>
      <charset val="128"/>
    </font>
    <font>
      <sz val="9"/>
      <color theme="0"/>
      <name val="ＭＳ Ｐゴシック"/>
      <family val="3"/>
      <charset val="128"/>
    </font>
    <font>
      <sz val="8"/>
      <name val="ＭＳ Ｐゴシック"/>
      <family val="3"/>
      <charset val="128"/>
    </font>
    <font>
      <sz val="7"/>
      <name val="ＭＳ Ｐゴシック"/>
      <family val="3"/>
      <charset val="128"/>
    </font>
    <font>
      <sz val="8"/>
      <name val="ＭＳ ゴシック"/>
      <family val="3"/>
      <charset val="128"/>
    </font>
    <font>
      <b/>
      <sz val="12"/>
      <name val="ＭＳ Ｐゴシック"/>
      <family val="3"/>
      <charset val="128"/>
    </font>
    <font>
      <sz val="11"/>
      <color theme="0"/>
      <name val="ＭＳ Ｐゴシック"/>
      <family val="3"/>
      <charset val="128"/>
    </font>
    <font>
      <sz val="9"/>
      <name val="ＭＳ ゴシック"/>
      <family val="3"/>
      <charset val="128"/>
    </font>
    <font>
      <sz val="8"/>
      <color theme="0"/>
      <name val="ＭＳ Ｐゴシック"/>
      <family val="3"/>
      <charset val="128"/>
    </font>
    <font>
      <sz val="1"/>
      <name val="ＭＳ Ｐゴシック"/>
      <family val="3"/>
      <charset val="128"/>
    </font>
    <font>
      <sz val="16"/>
      <name val="ＭＳ Ｐゴシック"/>
      <family val="3"/>
      <charset val="128"/>
    </font>
    <font>
      <b/>
      <sz val="20"/>
      <name val="ＭＳ Ｐゴシック"/>
      <family val="3"/>
      <charset val="128"/>
    </font>
  </fonts>
  <fills count="10">
    <fill>
      <patternFill patternType="none"/>
    </fill>
    <fill>
      <patternFill patternType="gray125"/>
    </fill>
    <fill>
      <patternFill patternType="solid">
        <fgColor theme="0" tint="-4.9989318521683403E-2"/>
        <bgColor theme="0" tint="-4.9989318521683403E-2"/>
      </patternFill>
    </fill>
    <fill>
      <patternFill patternType="solid">
        <fgColor theme="0" tint="-4.9989318521683403E-2"/>
        <bgColor indexed="31"/>
      </patternFill>
    </fill>
    <fill>
      <patternFill patternType="solid">
        <fgColor theme="0" tint="-4.9989318521683403E-2"/>
        <bgColor theme="0"/>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theme="0" tint="-4.9989318521683403E-2"/>
        <bgColor indexed="64"/>
      </patternFill>
    </fill>
  </fills>
  <borders count="95">
    <border>
      <left/>
      <right/>
      <top/>
      <bottom/>
      <diagonal/>
    </border>
    <border>
      <left/>
      <right/>
      <top/>
      <bottom style="hair">
        <color indexed="64"/>
      </bottom>
      <diagonal/>
    </border>
    <border>
      <left/>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style="thin">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bottom style="dashDot">
        <color indexed="64"/>
      </bottom>
      <diagonal/>
    </border>
    <border>
      <left/>
      <right/>
      <top style="dashDot">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thin">
        <color indexed="64"/>
      </right>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hair">
        <color indexed="64"/>
      </top>
      <bottom/>
      <diagonal/>
    </border>
    <border>
      <left/>
      <right/>
      <top/>
      <bottom style="medium">
        <color indexed="64"/>
      </bottom>
      <diagonal/>
    </border>
  </borders>
  <cellStyleXfs count="4">
    <xf numFmtId="0" fontId="0" fillId="0" borderId="0"/>
    <xf numFmtId="38" fontId="1" fillId="0" borderId="0" applyFont="0" applyFill="0" applyBorder="0" applyAlignment="0" applyProtection="0"/>
    <xf numFmtId="0" fontId="1" fillId="0" borderId="0">
      <alignment vertical="center"/>
    </xf>
    <xf numFmtId="38" fontId="1" fillId="0" borderId="0" applyFont="0" applyFill="0" applyBorder="0" applyAlignment="0" applyProtection="0">
      <alignment vertical="center"/>
    </xf>
  </cellStyleXfs>
  <cellXfs count="781">
    <xf numFmtId="0" fontId="0" fillId="0" borderId="0" xfId="0"/>
    <xf numFmtId="0" fontId="2" fillId="0" borderId="0" xfId="0" applyFont="1" applyAlignment="1">
      <alignment horizontal="right" vertical="center"/>
    </xf>
    <xf numFmtId="0" fontId="2" fillId="0" borderId="0" xfId="0" applyFont="1" applyAlignment="1">
      <alignment vertical="center"/>
    </xf>
    <xf numFmtId="0" fontId="0" fillId="0" borderId="0" xfId="0" applyAlignment="1">
      <alignment vertical="center"/>
    </xf>
    <xf numFmtId="0" fontId="0" fillId="2" borderId="0" xfId="0" applyFill="1" applyAlignment="1">
      <alignment vertical="center"/>
    </xf>
    <xf numFmtId="0" fontId="0" fillId="3" borderId="0" xfId="0" applyFill="1" applyAlignment="1">
      <alignment vertical="center"/>
    </xf>
    <xf numFmtId="0" fontId="6" fillId="0" borderId="0" xfId="0" applyFont="1" applyAlignment="1">
      <alignment horizontal="center" vertical="center"/>
    </xf>
    <xf numFmtId="0" fontId="7" fillId="0" borderId="0" xfId="0" applyFont="1" applyAlignment="1">
      <alignment horizontal="center" vertical="center"/>
    </xf>
    <xf numFmtId="176" fontId="0" fillId="0" borderId="0" xfId="0" applyNumberFormat="1" applyAlignment="1">
      <alignment vertical="center"/>
    </xf>
    <xf numFmtId="0" fontId="0" fillId="0" borderId="0" xfId="0" applyAlignment="1">
      <alignment horizontal="center" vertical="center"/>
    </xf>
    <xf numFmtId="0" fontId="0" fillId="4" borderId="0" xfId="0" applyFill="1" applyAlignment="1">
      <alignment vertical="center"/>
    </xf>
    <xf numFmtId="0" fontId="8" fillId="0" borderId="0" xfId="0" applyFont="1" applyAlignment="1">
      <alignment vertical="center"/>
    </xf>
    <xf numFmtId="0" fontId="9" fillId="0" borderId="1" xfId="0" applyFont="1" applyBorder="1" applyAlignment="1">
      <alignment vertical="center"/>
    </xf>
    <xf numFmtId="49" fontId="10" fillId="0" borderId="1" xfId="0" applyNumberFormat="1" applyFont="1" applyBorder="1" applyAlignment="1">
      <alignment vertical="center"/>
    </xf>
    <xf numFmtId="0" fontId="9" fillId="0" borderId="2" xfId="0" applyFont="1" applyBorder="1" applyAlignment="1">
      <alignment vertical="center"/>
    </xf>
    <xf numFmtId="49" fontId="10" fillId="0" borderId="2" xfId="0" applyNumberFormat="1" applyFont="1" applyBorder="1" applyAlignment="1">
      <alignment vertical="center"/>
    </xf>
    <xf numFmtId="0" fontId="10" fillId="0" borderId="0" xfId="0" applyFont="1" applyAlignment="1">
      <alignment vertical="center"/>
    </xf>
    <xf numFmtId="0" fontId="9" fillId="0" borderId="3" xfId="0" applyFont="1" applyBorder="1" applyAlignment="1">
      <alignment horizontal="center" vertical="center"/>
    </xf>
    <xf numFmtId="0" fontId="9" fillId="0" borderId="3" xfId="0" applyFont="1" applyBorder="1" applyAlignment="1">
      <alignment horizontal="center"/>
    </xf>
    <xf numFmtId="49" fontId="10" fillId="0" borderId="3" xfId="0" applyNumberFormat="1" applyFont="1" applyBorder="1" applyAlignment="1">
      <alignment horizontal="right" vertical="center"/>
    </xf>
    <xf numFmtId="49" fontId="10" fillId="0" borderId="3" xfId="0" applyNumberFormat="1" applyFont="1" applyBorder="1" applyAlignment="1">
      <alignment vertical="center"/>
    </xf>
    <xf numFmtId="22" fontId="10" fillId="0" borderId="3" xfId="0" applyNumberFormat="1" applyFont="1" applyBorder="1" applyAlignment="1">
      <alignment horizontal="right" vertical="center"/>
    </xf>
    <xf numFmtId="7" fontId="10" fillId="0" borderId="3" xfId="0" applyNumberFormat="1" applyFont="1" applyBorder="1" applyAlignment="1">
      <alignment horizontal="right" vertical="center"/>
    </xf>
    <xf numFmtId="177" fontId="10" fillId="0" borderId="3" xfId="0" applyNumberFormat="1" applyFont="1" applyBorder="1" applyAlignment="1">
      <alignment horizontal="right" vertical="center"/>
    </xf>
    <xf numFmtId="5" fontId="10" fillId="0" borderId="3" xfId="0" applyNumberFormat="1" applyFont="1" applyBorder="1" applyAlignment="1">
      <alignment vertical="center"/>
    </xf>
    <xf numFmtId="7" fontId="10" fillId="0" borderId="3" xfId="0" applyNumberFormat="1" applyFont="1" applyBorder="1" applyAlignment="1">
      <alignment vertical="center"/>
    </xf>
    <xf numFmtId="5" fontId="10" fillId="0" borderId="3" xfId="0" applyNumberFormat="1" applyFont="1" applyBorder="1" applyAlignment="1">
      <alignment horizontal="right" vertical="center"/>
    </xf>
    <xf numFmtId="178" fontId="10" fillId="0" borderId="0" xfId="0" applyNumberFormat="1" applyFont="1" applyAlignment="1">
      <alignment horizontal="right"/>
    </xf>
    <xf numFmtId="0" fontId="10" fillId="0" borderId="0" xfId="0" applyFont="1"/>
    <xf numFmtId="22" fontId="10" fillId="0" borderId="0" xfId="0" applyNumberFormat="1" applyFont="1" applyAlignment="1">
      <alignment horizontal="center"/>
    </xf>
    <xf numFmtId="7" fontId="10" fillId="0" borderId="0" xfId="0" applyNumberFormat="1" applyFont="1" applyAlignment="1">
      <alignment horizontal="right"/>
    </xf>
    <xf numFmtId="177" fontId="10" fillId="0" borderId="0" xfId="0" applyNumberFormat="1" applyFont="1" applyAlignment="1">
      <alignment horizontal="right"/>
    </xf>
    <xf numFmtId="5" fontId="10" fillId="0" borderId="0" xfId="0" applyNumberFormat="1" applyFont="1"/>
    <xf numFmtId="5" fontId="10" fillId="0" borderId="0" xfId="0" applyNumberFormat="1" applyFont="1" applyAlignment="1">
      <alignment horizontal="right"/>
    </xf>
    <xf numFmtId="38" fontId="11" fillId="0" borderId="0" xfId="0" applyNumberFormat="1" applyFont="1" applyAlignment="1">
      <alignment horizontal="center"/>
    </xf>
    <xf numFmtId="38" fontId="0" fillId="0" borderId="0" xfId="0" applyNumberFormat="1"/>
    <xf numFmtId="38" fontId="13" fillId="5" borderId="8" xfId="0" applyNumberFormat="1" applyFont="1" applyFill="1" applyBorder="1" applyAlignment="1">
      <alignment horizontal="center"/>
    </xf>
    <xf numFmtId="38" fontId="13" fillId="5" borderId="11" xfId="0" applyNumberFormat="1" applyFont="1" applyFill="1" applyBorder="1" applyAlignment="1">
      <alignment horizontal="center"/>
    </xf>
    <xf numFmtId="38" fontId="13" fillId="5" borderId="3" xfId="0" applyNumberFormat="1" applyFont="1" applyFill="1" applyBorder="1" applyAlignment="1">
      <alignment horizontal="center" vertical="center"/>
    </xf>
    <xf numFmtId="38" fontId="13" fillId="5" borderId="3" xfId="0" applyNumberFormat="1" applyFont="1" applyFill="1" applyBorder="1" applyAlignment="1">
      <alignment horizontal="center" vertical="center" wrapText="1"/>
    </xf>
    <xf numFmtId="0" fontId="13" fillId="5" borderId="8" xfId="0" applyFont="1" applyFill="1" applyBorder="1" applyAlignment="1">
      <alignment horizontal="center"/>
    </xf>
    <xf numFmtId="0" fontId="13" fillId="5" borderId="11" xfId="0" applyFont="1" applyFill="1" applyBorder="1" applyAlignment="1">
      <alignment horizontal="center"/>
    </xf>
    <xf numFmtId="0" fontId="13" fillId="5" borderId="3" xfId="0" applyFont="1" applyFill="1" applyBorder="1" applyAlignment="1">
      <alignment horizontal="center" vertical="center"/>
    </xf>
    <xf numFmtId="181" fontId="13" fillId="5" borderId="3" xfId="0" applyNumberFormat="1" applyFont="1" applyFill="1" applyBorder="1" applyAlignment="1">
      <alignment horizontal="center" vertical="center" wrapText="1"/>
    </xf>
    <xf numFmtId="14" fontId="0" fillId="0" borderId="0" xfId="0" applyNumberFormat="1"/>
    <xf numFmtId="180" fontId="0" fillId="0" borderId="0" xfId="0" applyNumberFormat="1"/>
    <xf numFmtId="181" fontId="0" fillId="0" borderId="0" xfId="0" applyNumberFormat="1"/>
    <xf numFmtId="49" fontId="13" fillId="0" borderId="13" xfId="0" applyNumberFormat="1" applyFont="1" applyBorder="1" applyAlignment="1">
      <alignment horizontal="center"/>
    </xf>
    <xf numFmtId="0" fontId="13" fillId="0" borderId="14" xfId="0" applyFont="1" applyBorder="1"/>
    <xf numFmtId="0" fontId="3" fillId="0" borderId="14" xfId="0" applyFont="1" applyBorder="1"/>
    <xf numFmtId="182" fontId="13" fillId="7" borderId="14" xfId="0" applyNumberFormat="1" applyFont="1" applyFill="1" applyBorder="1"/>
    <xf numFmtId="14" fontId="13" fillId="0" borderId="14" xfId="0" applyNumberFormat="1" applyFont="1" applyBorder="1"/>
    <xf numFmtId="0" fontId="13" fillId="0" borderId="14" xfId="0" applyFont="1" applyBorder="1" applyAlignment="1">
      <alignment horizontal="center"/>
    </xf>
    <xf numFmtId="4" fontId="13" fillId="0" borderId="14" xfId="0" applyNumberFormat="1" applyFont="1" applyBorder="1"/>
    <xf numFmtId="3" fontId="13" fillId="0" borderId="14" xfId="0" applyNumberFormat="1" applyFont="1" applyBorder="1"/>
    <xf numFmtId="3" fontId="13" fillId="7" borderId="14" xfId="0" applyNumberFormat="1" applyFont="1" applyFill="1" applyBorder="1"/>
    <xf numFmtId="9" fontId="13" fillId="0" borderId="14" xfId="0" applyNumberFormat="1" applyFont="1" applyBorder="1"/>
    <xf numFmtId="3" fontId="13" fillId="0" borderId="15" xfId="0" applyNumberFormat="1" applyFont="1" applyBorder="1"/>
    <xf numFmtId="3" fontId="13" fillId="0" borderId="16" xfId="0" applyNumberFormat="1" applyFont="1" applyBorder="1"/>
    <xf numFmtId="49" fontId="13" fillId="0" borderId="13" xfId="0" applyNumberFormat="1" applyFont="1" applyBorder="1" applyAlignment="1">
      <alignment horizontal="center" shrinkToFit="1"/>
    </xf>
    <xf numFmtId="0" fontId="0" fillId="0" borderId="17" xfId="0" applyBorder="1"/>
    <xf numFmtId="0" fontId="0" fillId="0" borderId="18" xfId="0" applyBorder="1"/>
    <xf numFmtId="0" fontId="13" fillId="0" borderId="18" xfId="0" applyFont="1" applyBorder="1"/>
    <xf numFmtId="14" fontId="0" fillId="0" borderId="18" xfId="0" applyNumberFormat="1" applyBorder="1"/>
    <xf numFmtId="4" fontId="3" fillId="0" borderId="18" xfId="0" applyNumberFormat="1" applyFont="1" applyBorder="1" applyAlignment="1">
      <alignment horizontal="center"/>
    </xf>
    <xf numFmtId="4" fontId="0" fillId="0" borderId="18" xfId="0" applyNumberFormat="1" applyBorder="1"/>
    <xf numFmtId="3" fontId="0" fillId="0" borderId="18" xfId="0" applyNumberFormat="1" applyBorder="1"/>
    <xf numFmtId="9" fontId="0" fillId="0" borderId="18" xfId="0" applyNumberFormat="1" applyBorder="1"/>
    <xf numFmtId="3" fontId="0" fillId="0" borderId="19" xfId="0" applyNumberFormat="1" applyBorder="1"/>
    <xf numFmtId="49" fontId="13" fillId="8" borderId="20" xfId="0" applyNumberFormat="1" applyFont="1" applyFill="1" applyBorder="1" applyAlignment="1">
      <alignment horizontal="center"/>
    </xf>
    <xf numFmtId="0" fontId="13" fillId="8" borderId="21" xfId="0" applyFont="1" applyFill="1" applyBorder="1" applyAlignment="1">
      <alignment horizontal="center"/>
    </xf>
    <xf numFmtId="0" fontId="3" fillId="8" borderId="21" xfId="0" applyFont="1" applyFill="1" applyBorder="1" applyAlignment="1">
      <alignment horizontal="center"/>
    </xf>
    <xf numFmtId="182" fontId="13" fillId="7" borderId="21" xfId="0" applyNumberFormat="1" applyFont="1" applyFill="1" applyBorder="1" applyAlignment="1">
      <alignment horizontal="center"/>
    </xf>
    <xf numFmtId="14" fontId="13" fillId="8" borderId="21" xfId="0" applyNumberFormat="1" applyFont="1" applyFill="1" applyBorder="1" applyAlignment="1">
      <alignment horizontal="center"/>
    </xf>
    <xf numFmtId="183" fontId="13" fillId="8" borderId="21" xfId="0" applyNumberFormat="1" applyFont="1" applyFill="1" applyBorder="1" applyAlignment="1">
      <alignment horizontal="center"/>
    </xf>
    <xf numFmtId="4" fontId="13" fillId="8" borderId="21" xfId="0" applyNumberFormat="1" applyFont="1" applyFill="1" applyBorder="1" applyAlignment="1">
      <alignment horizontal="center"/>
    </xf>
    <xf numFmtId="3" fontId="13" fillId="8" borderId="21" xfId="0" applyNumberFormat="1" applyFont="1" applyFill="1" applyBorder="1"/>
    <xf numFmtId="3" fontId="13" fillId="7" borderId="21" xfId="0" applyNumberFormat="1" applyFont="1" applyFill="1" applyBorder="1"/>
    <xf numFmtId="9" fontId="13" fillId="8" borderId="21" xfId="0" applyNumberFormat="1" applyFont="1" applyFill="1" applyBorder="1"/>
    <xf numFmtId="3" fontId="13" fillId="8" borderId="22" xfId="0" applyNumberFormat="1" applyFont="1" applyFill="1" applyBorder="1"/>
    <xf numFmtId="3" fontId="13" fillId="8" borderId="23" xfId="0" applyNumberFormat="1" applyFont="1" applyFill="1" applyBorder="1"/>
    <xf numFmtId="49" fontId="13" fillId="6" borderId="24" xfId="0" applyNumberFormat="1" applyFont="1" applyFill="1" applyBorder="1" applyAlignment="1">
      <alignment horizontal="center"/>
    </xf>
    <xf numFmtId="0" fontId="13" fillId="6" borderId="25" xfId="0" applyFont="1" applyFill="1" applyBorder="1" applyAlignment="1">
      <alignment horizontal="center"/>
    </xf>
    <xf numFmtId="0" fontId="3" fillId="6" borderId="25" xfId="0" applyFont="1" applyFill="1" applyBorder="1" applyAlignment="1">
      <alignment horizontal="center"/>
    </xf>
    <xf numFmtId="182" fontId="13" fillId="7" borderId="25" xfId="0" applyNumberFormat="1" applyFont="1" applyFill="1" applyBorder="1" applyAlignment="1">
      <alignment horizontal="center"/>
    </xf>
    <xf numFmtId="14" fontId="13" fillId="6" borderId="25" xfId="0" applyNumberFormat="1" applyFont="1" applyFill="1" applyBorder="1" applyAlignment="1">
      <alignment horizontal="center"/>
    </xf>
    <xf numFmtId="183" fontId="13" fillId="6" borderId="25" xfId="0" applyNumberFormat="1" applyFont="1" applyFill="1" applyBorder="1" applyAlignment="1">
      <alignment horizontal="center"/>
    </xf>
    <xf numFmtId="4" fontId="13" fillId="6" borderId="25" xfId="0" applyNumberFormat="1" applyFont="1" applyFill="1" applyBorder="1" applyAlignment="1">
      <alignment horizontal="center"/>
    </xf>
    <xf numFmtId="3" fontId="13" fillId="6" borderId="25" xfId="0" applyNumberFormat="1" applyFont="1" applyFill="1" applyBorder="1"/>
    <xf numFmtId="3" fontId="13" fillId="7" borderId="25" xfId="0" applyNumberFormat="1" applyFont="1" applyFill="1" applyBorder="1"/>
    <xf numFmtId="9" fontId="13" fillId="6" borderId="25" xfId="0" applyNumberFormat="1" applyFont="1" applyFill="1" applyBorder="1"/>
    <xf numFmtId="3" fontId="13" fillId="6" borderId="26" xfId="0" applyNumberFormat="1" applyFont="1" applyFill="1" applyBorder="1"/>
    <xf numFmtId="3" fontId="13" fillId="6" borderId="27" xfId="0" applyNumberFormat="1" applyFont="1" applyFill="1" applyBorder="1"/>
    <xf numFmtId="0" fontId="11" fillId="0" borderId="0" xfId="0" applyFont="1" applyAlignment="1">
      <alignment horizontal="center"/>
    </xf>
    <xf numFmtId="0" fontId="1" fillId="0" borderId="0" xfId="0" applyFont="1" applyAlignment="1">
      <alignment horizontal="center"/>
    </xf>
    <xf numFmtId="0" fontId="1" fillId="0" borderId="28" xfId="0" applyFont="1" applyBorder="1"/>
    <xf numFmtId="0" fontId="11" fillId="0" borderId="29" xfId="0" applyFont="1" applyBorder="1"/>
    <xf numFmtId="0" fontId="11" fillId="0" borderId="30" xfId="0" applyFont="1" applyBorder="1"/>
    <xf numFmtId="0" fontId="11" fillId="0" borderId="28" xfId="0" applyFont="1" applyBorder="1"/>
    <xf numFmtId="0" fontId="1" fillId="0" borderId="30" xfId="0" applyFont="1" applyBorder="1" applyAlignment="1">
      <alignment horizontal="center"/>
    </xf>
    <xf numFmtId="0" fontId="11" fillId="0" borderId="31" xfId="0" applyFont="1" applyBorder="1"/>
    <xf numFmtId="184" fontId="13" fillId="0" borderId="32" xfId="0" applyNumberFormat="1" applyFont="1" applyBorder="1"/>
    <xf numFmtId="184" fontId="13" fillId="0" borderId="33" xfId="0" applyNumberFormat="1" applyFont="1" applyBorder="1"/>
    <xf numFmtId="184" fontId="13" fillId="0" borderId="31" xfId="0" applyNumberFormat="1" applyFont="1" applyBorder="1"/>
    <xf numFmtId="184" fontId="13" fillId="0" borderId="34" xfId="0" applyNumberFormat="1" applyFont="1" applyBorder="1" applyAlignment="1">
      <alignment horizontal="right"/>
    </xf>
    <xf numFmtId="0" fontId="11" fillId="0" borderId="0" xfId="0" applyFont="1" applyAlignment="1">
      <alignment horizontal="right"/>
    </xf>
    <xf numFmtId="0" fontId="13" fillId="0" borderId="0" xfId="0" applyFont="1" applyAlignment="1">
      <alignment horizontal="right"/>
    </xf>
    <xf numFmtId="0" fontId="11" fillId="0" borderId="0" xfId="0" applyFont="1"/>
    <xf numFmtId="0" fontId="11" fillId="0" borderId="35" xfId="0" applyFont="1" applyBorder="1"/>
    <xf numFmtId="180" fontId="13" fillId="0" borderId="36" xfId="0" applyNumberFormat="1" applyFont="1" applyBorder="1"/>
    <xf numFmtId="180" fontId="13" fillId="0" borderId="37" xfId="0" applyNumberFormat="1" applyFont="1" applyBorder="1"/>
    <xf numFmtId="180" fontId="13" fillId="0" borderId="35" xfId="0" applyNumberFormat="1" applyFont="1" applyBorder="1"/>
    <xf numFmtId="180" fontId="13" fillId="0" borderId="37" xfId="0" applyNumberFormat="1" applyFont="1" applyBorder="1" applyAlignment="1">
      <alignment horizontal="right"/>
    </xf>
    <xf numFmtId="38" fontId="13" fillId="0" borderId="0" xfId="0" applyNumberFormat="1" applyFont="1" applyAlignment="1">
      <alignment horizontal="right"/>
    </xf>
    <xf numFmtId="0" fontId="11" fillId="0" borderId="38" xfId="0" applyFont="1" applyBorder="1"/>
    <xf numFmtId="180" fontId="13" fillId="0" borderId="39" xfId="0" applyNumberFormat="1" applyFont="1" applyBorder="1"/>
    <xf numFmtId="180" fontId="13" fillId="0" borderId="40" xfId="0" applyNumberFormat="1" applyFont="1" applyBorder="1"/>
    <xf numFmtId="180" fontId="13" fillId="0" borderId="38" xfId="0" applyNumberFormat="1" applyFont="1" applyBorder="1"/>
    <xf numFmtId="180" fontId="13" fillId="0" borderId="41" xfId="0" applyNumberFormat="1" applyFont="1" applyBorder="1" applyAlignment="1">
      <alignment horizontal="right"/>
    </xf>
    <xf numFmtId="0" fontId="11" fillId="0" borderId="42" xfId="0" applyFont="1" applyBorder="1"/>
    <xf numFmtId="180" fontId="13" fillId="0" borderId="3" xfId="0" applyNumberFormat="1" applyFont="1" applyBorder="1"/>
    <xf numFmtId="180" fontId="13" fillId="0" borderId="43" xfId="0" applyNumberFormat="1" applyFont="1" applyBorder="1"/>
    <xf numFmtId="180" fontId="13" fillId="0" borderId="42" xfId="0" applyNumberFormat="1" applyFont="1" applyBorder="1"/>
    <xf numFmtId="180" fontId="13" fillId="0" borderId="43" xfId="0" applyNumberFormat="1" applyFont="1" applyBorder="1" applyAlignment="1">
      <alignment horizontal="right"/>
    </xf>
    <xf numFmtId="0" fontId="11" fillId="0" borderId="44" xfId="0" applyFont="1" applyBorder="1"/>
    <xf numFmtId="180" fontId="13" fillId="0" borderId="45" xfId="0" applyNumberFormat="1" applyFont="1" applyBorder="1"/>
    <xf numFmtId="180" fontId="13" fillId="0" borderId="46" xfId="0" applyNumberFormat="1" applyFont="1" applyBorder="1"/>
    <xf numFmtId="180" fontId="13" fillId="0" borderId="44" xfId="0" applyNumberFormat="1" applyFont="1" applyBorder="1"/>
    <xf numFmtId="180" fontId="13" fillId="0" borderId="46" xfId="0" applyNumberFormat="1" applyFont="1" applyBorder="1" applyAlignment="1">
      <alignment horizontal="right"/>
    </xf>
    <xf numFmtId="0" fontId="0" fillId="0" borderId="0" xfId="0" applyAlignment="1">
      <alignment horizontal="right" vertical="center"/>
    </xf>
    <xf numFmtId="0" fontId="0" fillId="0" borderId="0" xfId="0" applyAlignment="1">
      <alignment horizontal="left" vertical="center"/>
    </xf>
    <xf numFmtId="0" fontId="6" fillId="0" borderId="0" xfId="0" applyFont="1" applyAlignment="1">
      <alignment vertical="center"/>
    </xf>
    <xf numFmtId="0" fontId="7" fillId="0" borderId="0" xfId="0" applyFont="1" applyAlignment="1">
      <alignment horizontal="left" vertical="center"/>
    </xf>
    <xf numFmtId="0" fontId="5" fillId="0" borderId="0" xfId="0" applyFont="1" applyAlignment="1">
      <alignment horizontal="center" vertical="center"/>
    </xf>
    <xf numFmtId="0" fontId="10" fillId="0" borderId="0" xfId="0" applyFont="1" applyAlignment="1">
      <alignment horizontal="center" vertical="center"/>
    </xf>
    <xf numFmtId="0" fontId="10" fillId="0" borderId="7" xfId="0" applyFont="1" applyBorder="1" applyAlignment="1">
      <alignment horizontal="center" vertical="center"/>
    </xf>
    <xf numFmtId="0" fontId="13" fillId="0" borderId="0" xfId="0" applyFont="1" applyAlignment="1">
      <alignment vertical="center"/>
    </xf>
    <xf numFmtId="0" fontId="15" fillId="0" borderId="0" xfId="0" applyFont="1" applyAlignment="1">
      <alignment vertical="center"/>
    </xf>
    <xf numFmtId="0" fontId="16" fillId="0" borderId="0" xfId="0" applyFont="1" applyAlignment="1">
      <alignment horizontal="center" vertical="center"/>
    </xf>
    <xf numFmtId="0" fontId="3" fillId="0" borderId="0" xfId="0" applyFont="1" applyAlignment="1">
      <alignment vertical="center"/>
    </xf>
    <xf numFmtId="0" fontId="3" fillId="0" borderId="0" xfId="0" applyFont="1" applyAlignment="1">
      <alignment horizontal="center" vertical="center"/>
    </xf>
    <xf numFmtId="58" fontId="2" fillId="0" borderId="0" xfId="0" applyNumberFormat="1" applyFont="1" applyAlignment="1">
      <alignment horizontal="center" vertical="center"/>
    </xf>
    <xf numFmtId="0" fontId="13" fillId="0" borderId="0" xfId="0" applyFont="1" applyAlignment="1">
      <alignment horizontal="left" vertical="center"/>
    </xf>
    <xf numFmtId="0" fontId="13" fillId="0" borderId="0" xfId="0" applyFont="1" applyAlignment="1">
      <alignment horizontal="center" vertical="center"/>
    </xf>
    <xf numFmtId="58" fontId="13" fillId="0" borderId="0" xfId="0" applyNumberFormat="1" applyFont="1" applyAlignment="1">
      <alignment horizontal="center" vertical="center"/>
    </xf>
    <xf numFmtId="0" fontId="13" fillId="0" borderId="3" xfId="0" applyFont="1" applyBorder="1" applyAlignment="1">
      <alignment horizontal="center" vertical="center"/>
    </xf>
    <xf numFmtId="0" fontId="13" fillId="0" borderId="3" xfId="0" applyFont="1" applyBorder="1" applyAlignment="1">
      <alignment horizontal="center" vertical="center" wrapText="1"/>
    </xf>
    <xf numFmtId="0" fontId="13" fillId="0" borderId="9" xfId="0" applyFont="1" applyBorder="1" applyAlignment="1">
      <alignment horizontal="center" vertical="center"/>
    </xf>
    <xf numFmtId="0" fontId="13" fillId="0" borderId="47" xfId="0" applyFont="1" applyBorder="1" applyAlignment="1">
      <alignment horizontal="center" vertical="center"/>
    </xf>
    <xf numFmtId="0" fontId="13" fillId="0" borderId="12" xfId="0" applyFont="1" applyBorder="1" applyAlignment="1">
      <alignment horizontal="center" vertical="center"/>
    </xf>
    <xf numFmtId="3" fontId="13" fillId="0" borderId="3" xfId="0" applyNumberFormat="1" applyFont="1" applyBorder="1" applyAlignment="1">
      <alignment horizontal="right" vertical="center"/>
    </xf>
    <xf numFmtId="3" fontId="13" fillId="0" borderId="47" xfId="0" applyNumberFormat="1" applyFont="1" applyBorder="1" applyAlignment="1">
      <alignment horizontal="right" vertical="center"/>
    </xf>
    <xf numFmtId="3" fontId="13" fillId="0" borderId="0" xfId="0" applyNumberFormat="1" applyFont="1" applyAlignment="1">
      <alignment horizontal="right" vertical="center"/>
    </xf>
    <xf numFmtId="38" fontId="13" fillId="0" borderId="0" xfId="0" applyNumberFormat="1" applyFont="1" applyAlignment="1">
      <alignment horizontal="right" vertical="center"/>
    </xf>
    <xf numFmtId="0" fontId="13" fillId="0" borderId="7" xfId="0" applyFont="1" applyBorder="1" applyAlignment="1">
      <alignment vertical="center"/>
    </xf>
    <xf numFmtId="0" fontId="13" fillId="0" borderId="7" xfId="0" applyFont="1" applyBorder="1" applyAlignment="1">
      <alignment horizontal="center" vertical="center"/>
    </xf>
    <xf numFmtId="0" fontId="13" fillId="0" borderId="4" xfId="0" applyFont="1" applyBorder="1" applyAlignment="1">
      <alignment horizontal="center" vertical="center"/>
    </xf>
    <xf numFmtId="49" fontId="13" fillId="0" borderId="49" xfId="0" applyNumberFormat="1" applyFont="1" applyBorder="1" applyAlignment="1">
      <alignment vertical="center"/>
    </xf>
    <xf numFmtId="14" fontId="13" fillId="0" borderId="52" xfId="0" applyNumberFormat="1" applyFont="1" applyBorder="1" applyAlignment="1">
      <alignment horizontal="center" vertical="center"/>
    </xf>
    <xf numFmtId="0" fontId="13" fillId="0" borderId="52" xfId="0" applyFont="1" applyBorder="1" applyAlignment="1">
      <alignment horizontal="center" vertical="center"/>
    </xf>
    <xf numFmtId="185" fontId="13" fillId="0" borderId="9" xfId="0" applyNumberFormat="1" applyFont="1" applyBorder="1" applyAlignment="1">
      <alignment horizontal="center" vertical="center"/>
    </xf>
    <xf numFmtId="4" fontId="13" fillId="0" borderId="9" xfId="0" applyNumberFormat="1" applyFont="1" applyBorder="1" applyAlignment="1">
      <alignment horizontal="right" vertical="center"/>
    </xf>
    <xf numFmtId="7" fontId="13" fillId="0" borderId="9" xfId="0" applyNumberFormat="1" applyFont="1" applyBorder="1" applyAlignment="1">
      <alignment horizontal="right" vertical="center"/>
    </xf>
    <xf numFmtId="5" fontId="13" fillId="0" borderId="9" xfId="0" applyNumberFormat="1" applyFont="1" applyBorder="1" applyAlignment="1">
      <alignment horizontal="right" vertical="center"/>
    </xf>
    <xf numFmtId="49" fontId="13" fillId="0" borderId="53" xfId="0" applyNumberFormat="1" applyFont="1" applyBorder="1" applyAlignment="1">
      <alignment vertical="center"/>
    </xf>
    <xf numFmtId="14" fontId="13" fillId="0" borderId="53" xfId="0" applyNumberFormat="1" applyFont="1" applyBorder="1" applyAlignment="1">
      <alignment horizontal="center" vertical="center"/>
    </xf>
    <xf numFmtId="0" fontId="13" fillId="0" borderId="53" xfId="0" applyFont="1" applyBorder="1" applyAlignment="1">
      <alignment horizontal="center" vertical="center"/>
    </xf>
    <xf numFmtId="185" fontId="13" fillId="0" borderId="53" xfId="0" applyNumberFormat="1" applyFont="1" applyBorder="1" applyAlignment="1">
      <alignment horizontal="center" vertical="center"/>
    </xf>
    <xf numFmtId="4" fontId="13" fillId="0" borderId="53" xfId="0" applyNumberFormat="1" applyFont="1" applyBorder="1" applyAlignment="1">
      <alignment horizontal="right" vertical="center"/>
    </xf>
    <xf numFmtId="7" fontId="13" fillId="0" borderId="53" xfId="0" applyNumberFormat="1" applyFont="1" applyBorder="1" applyAlignment="1">
      <alignment horizontal="right" vertical="center"/>
    </xf>
    <xf numFmtId="5" fontId="13" fillId="0" borderId="53" xfId="0" applyNumberFormat="1" applyFont="1" applyBorder="1" applyAlignment="1">
      <alignment horizontal="right" vertical="center"/>
    </xf>
    <xf numFmtId="185" fontId="13" fillId="0" borderId="53" xfId="0" applyNumberFormat="1" applyFont="1" applyBorder="1" applyAlignment="1">
      <alignment horizontal="right" vertical="center"/>
    </xf>
    <xf numFmtId="0" fontId="13" fillId="0" borderId="56" xfId="0" applyFont="1" applyBorder="1" applyAlignment="1">
      <alignment horizontal="center" vertical="center"/>
    </xf>
    <xf numFmtId="49" fontId="13" fillId="0" borderId="56" xfId="0" applyNumberFormat="1" applyFont="1" applyBorder="1" applyAlignment="1">
      <alignment vertical="center"/>
    </xf>
    <xf numFmtId="14" fontId="13" fillId="0" borderId="56" xfId="0" applyNumberFormat="1" applyFont="1" applyBorder="1" applyAlignment="1">
      <alignment horizontal="center" vertical="center"/>
    </xf>
    <xf numFmtId="0" fontId="13" fillId="0" borderId="59" xfId="0" applyFont="1" applyBorder="1" applyAlignment="1">
      <alignment horizontal="center" vertical="center"/>
    </xf>
    <xf numFmtId="185" fontId="13" fillId="0" borderId="59" xfId="0" applyNumberFormat="1" applyFont="1" applyBorder="1" applyAlignment="1">
      <alignment horizontal="center" vertical="center"/>
    </xf>
    <xf numFmtId="4" fontId="13" fillId="0" borderId="59" xfId="0" applyNumberFormat="1" applyFont="1" applyBorder="1" applyAlignment="1">
      <alignment horizontal="right" vertical="center"/>
    </xf>
    <xf numFmtId="7" fontId="13" fillId="0" borderId="59" xfId="0" applyNumberFormat="1" applyFont="1" applyBorder="1" applyAlignment="1">
      <alignment horizontal="right" vertical="center"/>
    </xf>
    <xf numFmtId="5" fontId="13" fillId="0" borderId="59" xfId="0" applyNumberFormat="1" applyFont="1" applyBorder="1" applyAlignment="1">
      <alignment horizontal="right" vertical="center"/>
    </xf>
    <xf numFmtId="183" fontId="13" fillId="0" borderId="12" xfId="0" applyNumberFormat="1" applyFont="1" applyBorder="1" applyAlignment="1">
      <alignment horizontal="center" vertical="center"/>
    </xf>
    <xf numFmtId="3" fontId="13" fillId="0" borderId="60" xfId="0" applyNumberFormat="1" applyFont="1" applyBorder="1" applyAlignment="1">
      <alignment horizontal="right" vertical="center"/>
    </xf>
    <xf numFmtId="3" fontId="13" fillId="0" borderId="10" xfId="0" applyNumberFormat="1" applyFont="1" applyBorder="1" applyAlignment="1">
      <alignment horizontal="right" vertical="center"/>
    </xf>
    <xf numFmtId="5" fontId="13" fillId="0" borderId="12" xfId="0" applyNumberFormat="1" applyFont="1" applyBorder="1" applyAlignment="1">
      <alignment horizontal="right" vertical="center"/>
    </xf>
    <xf numFmtId="0" fontId="13" fillId="0" borderId="0" xfId="0" applyFont="1" applyAlignment="1">
      <alignment horizontal="right" vertical="center"/>
    </xf>
    <xf numFmtId="0" fontId="11" fillId="0" borderId="0" xfId="0" applyFont="1" applyAlignment="1">
      <alignment vertical="center"/>
    </xf>
    <xf numFmtId="181" fontId="17" fillId="0" borderId="0" xfId="0" applyNumberFormat="1" applyFont="1" applyAlignment="1">
      <alignment vertical="center"/>
    </xf>
    <xf numFmtId="0" fontId="18" fillId="0" borderId="0" xfId="0" applyFont="1" applyAlignment="1">
      <alignment vertical="center"/>
    </xf>
    <xf numFmtId="58" fontId="18" fillId="0" borderId="0" xfId="0" applyNumberFormat="1" applyFont="1" applyAlignment="1">
      <alignment vertical="center"/>
    </xf>
    <xf numFmtId="0" fontId="5" fillId="0" borderId="0" xfId="0" applyFont="1" applyAlignment="1">
      <alignment vertical="center"/>
    </xf>
    <xf numFmtId="0" fontId="11" fillId="0" borderId="0" xfId="0" applyFont="1" applyAlignment="1">
      <alignment horizontal="center" vertical="center"/>
    </xf>
    <xf numFmtId="0" fontId="3" fillId="0" borderId="0" xfId="0" applyFont="1" applyAlignment="1">
      <alignment horizontal="right" vertical="center"/>
    </xf>
    <xf numFmtId="186" fontId="13" fillId="0" borderId="52" xfId="0" applyNumberFormat="1" applyFont="1" applyBorder="1" applyAlignment="1">
      <alignment horizontal="center" vertical="center"/>
    </xf>
    <xf numFmtId="187" fontId="13" fillId="0" borderId="9" xfId="0" applyNumberFormat="1" applyFont="1" applyBorder="1" applyAlignment="1">
      <alignment horizontal="right" vertical="center"/>
    </xf>
    <xf numFmtId="186" fontId="13" fillId="0" borderId="53" xfId="0" applyNumberFormat="1" applyFont="1" applyBorder="1" applyAlignment="1">
      <alignment horizontal="center" vertical="center"/>
    </xf>
    <xf numFmtId="187" fontId="13" fillId="0" borderId="53" xfId="0" applyNumberFormat="1" applyFont="1" applyBorder="1" applyAlignment="1">
      <alignment horizontal="right" vertical="center"/>
    </xf>
    <xf numFmtId="186" fontId="13" fillId="0" borderId="56" xfId="0" applyNumberFormat="1" applyFont="1" applyBorder="1" applyAlignment="1">
      <alignment horizontal="center" vertical="center"/>
    </xf>
    <xf numFmtId="187" fontId="13" fillId="0" borderId="59" xfId="0" applyNumberFormat="1" applyFont="1" applyBorder="1" applyAlignment="1">
      <alignment horizontal="right" vertical="center"/>
    </xf>
    <xf numFmtId="0" fontId="14" fillId="0" borderId="0" xfId="0" applyFont="1" applyAlignment="1">
      <alignment horizontal="center" vertical="center"/>
    </xf>
    <xf numFmtId="183" fontId="13" fillId="0" borderId="3" xfId="0" applyNumberFormat="1" applyFont="1" applyBorder="1" applyAlignment="1">
      <alignment horizontal="center" vertical="center"/>
    </xf>
    <xf numFmtId="0" fontId="14" fillId="0" borderId="0" xfId="0" applyFont="1" applyAlignment="1">
      <alignment vertical="center"/>
    </xf>
    <xf numFmtId="0" fontId="1" fillId="0" borderId="0" xfId="0" applyFont="1" applyAlignment="1">
      <alignment vertical="center"/>
    </xf>
    <xf numFmtId="0" fontId="1" fillId="0" borderId="0" xfId="0" applyFont="1" applyAlignment="1">
      <alignment horizontal="left" vertical="center"/>
    </xf>
    <xf numFmtId="0" fontId="20" fillId="0" borderId="0" xfId="0" applyFont="1" applyAlignment="1">
      <alignment vertical="center"/>
    </xf>
    <xf numFmtId="0" fontId="20" fillId="0" borderId="0" xfId="0" applyFont="1" applyAlignment="1">
      <alignment horizontal="left" vertical="center"/>
    </xf>
    <xf numFmtId="0" fontId="13" fillId="0" borderId="0" xfId="0" applyFont="1" applyAlignment="1">
      <alignment horizontal="right" vertical="top"/>
    </xf>
    <xf numFmtId="0" fontId="20" fillId="0" borderId="0" xfId="0" applyFont="1" applyAlignment="1">
      <alignment horizontal="right" vertical="center"/>
    </xf>
    <xf numFmtId="0" fontId="20" fillId="0" borderId="0" xfId="0" applyFont="1" applyAlignment="1">
      <alignment horizontal="center" vertical="center"/>
    </xf>
    <xf numFmtId="0" fontId="2" fillId="0" borderId="0" xfId="0" applyFont="1" applyAlignment="1">
      <alignment horizontal="left" vertical="center"/>
    </xf>
    <xf numFmtId="0" fontId="10" fillId="0" borderId="0" xfId="0" applyFont="1" applyAlignment="1">
      <alignment horizontal="left" vertical="center"/>
    </xf>
    <xf numFmtId="0" fontId="21" fillId="0" borderId="0" xfId="0" applyFont="1" applyAlignment="1">
      <alignment horizontal="right" vertical="center"/>
    </xf>
    <xf numFmtId="0" fontId="6" fillId="0" borderId="0" xfId="0" applyFont="1" applyAlignment="1">
      <alignment horizontal="left" vertical="center"/>
    </xf>
    <xf numFmtId="0" fontId="21" fillId="0" borderId="0" xfId="0" applyFont="1" applyAlignment="1">
      <alignment horizontal="center" vertical="center"/>
    </xf>
    <xf numFmtId="0" fontId="2" fillId="0" borderId="0" xfId="0" applyFont="1" applyAlignment="1">
      <alignment horizontal="center" vertical="center"/>
    </xf>
    <xf numFmtId="0" fontId="18" fillId="0" borderId="0" xfId="0" applyFont="1" applyAlignment="1">
      <alignment horizontal="left" vertical="center"/>
    </xf>
    <xf numFmtId="58" fontId="2" fillId="0" borderId="7" xfId="0" applyNumberFormat="1" applyFont="1" applyBorder="1" applyAlignment="1">
      <alignment horizontal="center" vertical="center"/>
    </xf>
    <xf numFmtId="0" fontId="10" fillId="0" borderId="7" xfId="0" applyFont="1" applyBorder="1" applyAlignment="1">
      <alignment horizontal="right" vertical="center"/>
    </xf>
    <xf numFmtId="0" fontId="13" fillId="0" borderId="7" xfId="0" applyFont="1" applyBorder="1" applyAlignment="1">
      <alignment horizontal="right" vertical="center"/>
    </xf>
    <xf numFmtId="49" fontId="10" fillId="0" borderId="52" xfId="0" applyNumberFormat="1" applyFont="1" applyBorder="1" applyAlignment="1">
      <alignment vertical="center"/>
    </xf>
    <xf numFmtId="49" fontId="10" fillId="0" borderId="52" xfId="0" applyNumberFormat="1" applyFont="1" applyBorder="1" applyAlignment="1">
      <alignment horizontal="center" vertical="center"/>
    </xf>
    <xf numFmtId="22" fontId="10" fillId="0" borderId="52" xfId="0" applyNumberFormat="1" applyFont="1" applyBorder="1" applyAlignment="1">
      <alignment horizontal="right" vertical="center"/>
    </xf>
    <xf numFmtId="180" fontId="10" fillId="0" borderId="52" xfId="0" applyNumberFormat="1" applyFont="1" applyBorder="1" applyAlignment="1">
      <alignment horizontal="right" vertical="center"/>
    </xf>
    <xf numFmtId="40" fontId="10" fillId="0" borderId="52" xfId="0" applyNumberFormat="1" applyFont="1" applyBorder="1" applyAlignment="1">
      <alignment horizontal="right" vertical="center"/>
    </xf>
    <xf numFmtId="7" fontId="10" fillId="0" borderId="52" xfId="0" applyNumberFormat="1" applyFont="1" applyBorder="1" applyAlignment="1">
      <alignment horizontal="right" vertical="center"/>
    </xf>
    <xf numFmtId="5" fontId="10" fillId="0" borderId="52" xfId="0" applyNumberFormat="1" applyFont="1" applyBorder="1" applyAlignment="1">
      <alignment horizontal="right" vertical="center"/>
    </xf>
    <xf numFmtId="49" fontId="10" fillId="0" borderId="49" xfId="0" applyNumberFormat="1" applyFont="1" applyBorder="1" applyAlignment="1">
      <alignment vertical="center"/>
    </xf>
    <xf numFmtId="0" fontId="0" fillId="0" borderId="55" xfId="0" applyBorder="1"/>
    <xf numFmtId="22" fontId="10" fillId="0" borderId="54" xfId="0" applyNumberFormat="1" applyFont="1" applyBorder="1" applyAlignment="1">
      <alignment horizontal="center" vertical="center"/>
    </xf>
    <xf numFmtId="0" fontId="10" fillId="0" borderId="53" xfId="0" applyFont="1" applyBorder="1" applyAlignment="1">
      <alignment horizontal="center" vertical="center"/>
    </xf>
    <xf numFmtId="184" fontId="10" fillId="0" borderId="54" xfId="0" applyNumberFormat="1" applyFont="1" applyBorder="1" applyAlignment="1">
      <alignment horizontal="right" vertical="center"/>
    </xf>
    <xf numFmtId="40" fontId="10" fillId="0" borderId="54" xfId="0" applyNumberFormat="1" applyFont="1" applyBorder="1" applyAlignment="1">
      <alignment horizontal="right" vertical="center"/>
    </xf>
    <xf numFmtId="0" fontId="0" fillId="0" borderId="2" xfId="0" applyBorder="1"/>
    <xf numFmtId="22" fontId="10" fillId="0" borderId="53" xfId="0" applyNumberFormat="1" applyFont="1" applyBorder="1" applyAlignment="1">
      <alignment horizontal="right" vertical="center"/>
    </xf>
    <xf numFmtId="180" fontId="10" fillId="0" borderId="53" xfId="0" applyNumberFormat="1" applyFont="1" applyBorder="1" applyAlignment="1">
      <alignment horizontal="right" vertical="center"/>
    </xf>
    <xf numFmtId="40" fontId="10" fillId="0" borderId="53" xfId="0" applyNumberFormat="1" applyFont="1" applyBorder="1" applyAlignment="1">
      <alignment horizontal="right" vertical="center"/>
    </xf>
    <xf numFmtId="7" fontId="10" fillId="0" borderId="53" xfId="0" applyNumberFormat="1" applyFont="1" applyBorder="1" applyAlignment="1">
      <alignment horizontal="right" vertical="center"/>
    </xf>
    <xf numFmtId="5" fontId="10" fillId="0" borderId="53" xfId="0" applyNumberFormat="1" applyFont="1" applyBorder="1" applyAlignment="1">
      <alignment horizontal="right" vertical="center"/>
    </xf>
    <xf numFmtId="5" fontId="10" fillId="0" borderId="54" xfId="0" applyNumberFormat="1" applyFont="1" applyBorder="1" applyAlignment="1">
      <alignment horizontal="right" vertical="center"/>
    </xf>
    <xf numFmtId="5" fontId="10" fillId="0" borderId="2" xfId="0" applyNumberFormat="1" applyFont="1" applyBorder="1" applyAlignment="1">
      <alignment horizontal="right" vertical="center"/>
    </xf>
    <xf numFmtId="40" fontId="10" fillId="0" borderId="2" xfId="0" applyNumberFormat="1" applyFont="1" applyBorder="1" applyAlignment="1">
      <alignment horizontal="right" vertical="center"/>
    </xf>
    <xf numFmtId="40" fontId="10" fillId="0" borderId="55" xfId="0" applyNumberFormat="1" applyFont="1" applyBorder="1" applyAlignment="1">
      <alignment horizontal="right" vertical="center"/>
    </xf>
    <xf numFmtId="49" fontId="10" fillId="0" borderId="53" xfId="0" applyNumberFormat="1" applyFont="1" applyBorder="1" applyAlignment="1">
      <alignment vertical="center"/>
    </xf>
    <xf numFmtId="49" fontId="10" fillId="0" borderId="59" xfId="0" applyNumberFormat="1" applyFont="1" applyBorder="1" applyAlignment="1">
      <alignment vertical="center"/>
    </xf>
    <xf numFmtId="0" fontId="10" fillId="0" borderId="59" xfId="0" applyFont="1" applyBorder="1" applyAlignment="1">
      <alignment horizontal="center" vertical="center"/>
    </xf>
    <xf numFmtId="22" fontId="10" fillId="0" borderId="59" xfId="0" applyNumberFormat="1" applyFont="1" applyBorder="1" applyAlignment="1">
      <alignment horizontal="right" vertical="center"/>
    </xf>
    <xf numFmtId="180" fontId="10" fillId="0" borderId="59" xfId="0" applyNumberFormat="1" applyFont="1" applyBorder="1" applyAlignment="1">
      <alignment horizontal="right" vertical="center"/>
    </xf>
    <xf numFmtId="40" fontId="10" fillId="0" borderId="59" xfId="0" applyNumberFormat="1" applyFont="1" applyBorder="1" applyAlignment="1">
      <alignment horizontal="right" vertical="center"/>
    </xf>
    <xf numFmtId="7" fontId="10" fillId="0" borderId="59" xfId="0" applyNumberFormat="1" applyFont="1" applyBorder="1" applyAlignment="1">
      <alignment horizontal="right" vertical="center"/>
    </xf>
    <xf numFmtId="5" fontId="10" fillId="0" borderId="59" xfId="0" applyNumberFormat="1" applyFont="1" applyBorder="1" applyAlignment="1">
      <alignment horizontal="right" vertical="center"/>
    </xf>
    <xf numFmtId="183" fontId="1" fillId="0" borderId="0" xfId="0" applyNumberFormat="1" applyFont="1" applyAlignment="1">
      <alignment horizontal="center" vertical="center"/>
    </xf>
    <xf numFmtId="180" fontId="1" fillId="0" borderId="0" xfId="0" applyNumberFormat="1" applyFont="1" applyAlignment="1">
      <alignment horizontal="right" vertical="center"/>
    </xf>
    <xf numFmtId="3" fontId="1" fillId="0" borderId="60" xfId="0" applyNumberFormat="1" applyFont="1" applyBorder="1" applyAlignment="1">
      <alignment horizontal="right" vertical="center"/>
    </xf>
    <xf numFmtId="0" fontId="1" fillId="0" borderId="10" xfId="0" applyFont="1" applyBorder="1" applyAlignment="1">
      <alignment horizontal="right" vertical="center"/>
    </xf>
    <xf numFmtId="5" fontId="1" fillId="0" borderId="12" xfId="0" applyNumberFormat="1" applyFont="1" applyBorder="1" applyAlignment="1">
      <alignment horizontal="right" vertical="center"/>
    </xf>
    <xf numFmtId="176" fontId="13" fillId="0" borderId="0" xfId="0" applyNumberFormat="1" applyFont="1" applyAlignment="1">
      <alignment vertical="center"/>
    </xf>
    <xf numFmtId="0" fontId="9" fillId="0" borderId="0" xfId="0" applyFont="1" applyAlignment="1">
      <alignment horizontal="left" vertical="center"/>
    </xf>
    <xf numFmtId="0" fontId="9" fillId="0" borderId="0" xfId="0" applyFont="1" applyAlignment="1">
      <alignment vertical="center"/>
    </xf>
    <xf numFmtId="58" fontId="10" fillId="0" borderId="0" xfId="0" applyNumberFormat="1" applyFont="1" applyAlignment="1">
      <alignment horizontal="center" vertical="center"/>
    </xf>
    <xf numFmtId="0" fontId="10" fillId="0" borderId="52" xfId="0" applyFont="1" applyBorder="1" applyAlignment="1">
      <alignment vertical="center"/>
    </xf>
    <xf numFmtId="0" fontId="10" fillId="0" borderId="52" xfId="0" applyFont="1" applyBorder="1" applyAlignment="1">
      <alignment horizontal="center" vertical="center"/>
    </xf>
    <xf numFmtId="0" fontId="10" fillId="0" borderId="53" xfId="0" applyFont="1" applyBorder="1" applyAlignment="1">
      <alignment vertical="center"/>
    </xf>
    <xf numFmtId="0" fontId="10" fillId="0" borderId="54" xfId="0" applyFont="1" applyBorder="1" applyAlignment="1">
      <alignment horizontal="center" vertical="center" wrapText="1"/>
    </xf>
    <xf numFmtId="180" fontId="10" fillId="0" borderId="54" xfId="0" applyNumberFormat="1" applyFont="1" applyBorder="1" applyAlignment="1">
      <alignment horizontal="center" vertical="center"/>
    </xf>
    <xf numFmtId="0" fontId="10" fillId="0" borderId="59" xfId="0" applyFont="1" applyBorder="1" applyAlignment="1">
      <alignment vertical="center"/>
    </xf>
    <xf numFmtId="183" fontId="10" fillId="0" borderId="0" xfId="0" applyNumberFormat="1" applyFont="1" applyAlignment="1">
      <alignment horizontal="center" vertical="center"/>
    </xf>
    <xf numFmtId="180" fontId="10" fillId="0" borderId="0" xfId="0" applyNumberFormat="1" applyFont="1" applyAlignment="1">
      <alignment horizontal="right" vertical="center"/>
    </xf>
    <xf numFmtId="3" fontId="10" fillId="0" borderId="0" xfId="0" applyNumberFormat="1" applyFont="1" applyAlignment="1">
      <alignment horizontal="right" vertical="center"/>
    </xf>
    <xf numFmtId="0" fontId="8" fillId="0" borderId="0" xfId="0" applyFont="1" applyAlignment="1">
      <alignment horizontal="left" vertical="center"/>
    </xf>
    <xf numFmtId="0" fontId="9" fillId="0" borderId="0" xfId="0" applyFont="1" applyAlignment="1">
      <alignment horizontal="center" vertical="center"/>
    </xf>
    <xf numFmtId="14" fontId="10" fillId="0" borderId="52" xfId="0" applyNumberFormat="1" applyFont="1" applyBorder="1" applyAlignment="1">
      <alignment horizontal="right" vertical="center"/>
    </xf>
    <xf numFmtId="14" fontId="10" fillId="0" borderId="53" xfId="0" applyNumberFormat="1" applyFont="1" applyBorder="1" applyAlignment="1">
      <alignment horizontal="right" vertical="center"/>
    </xf>
    <xf numFmtId="14" fontId="10" fillId="0" borderId="59" xfId="0" applyNumberFormat="1" applyFont="1" applyBorder="1" applyAlignment="1">
      <alignment horizontal="right" vertical="center"/>
    </xf>
    <xf numFmtId="5" fontId="11" fillId="0" borderId="12" xfId="0" applyNumberFormat="1" applyFont="1" applyBorder="1" applyAlignment="1">
      <alignment horizontal="right" vertical="center"/>
    </xf>
    <xf numFmtId="0" fontId="10" fillId="0" borderId="0" xfId="0" applyFont="1" applyAlignment="1">
      <alignment horizontal="right" vertical="center"/>
    </xf>
    <xf numFmtId="0" fontId="21" fillId="0" borderId="0" xfId="0" applyFont="1" applyAlignment="1">
      <alignment horizontal="left" vertical="center"/>
    </xf>
    <xf numFmtId="0" fontId="15" fillId="0" borderId="0" xfId="0" applyFont="1" applyAlignment="1">
      <alignment horizontal="left" vertical="center"/>
    </xf>
    <xf numFmtId="49" fontId="10" fillId="0" borderId="53" xfId="0" applyNumberFormat="1" applyFont="1" applyBorder="1" applyAlignment="1">
      <alignment horizontal="center" vertical="center"/>
    </xf>
    <xf numFmtId="49" fontId="10" fillId="0" borderId="59" xfId="0" applyNumberFormat="1" applyFont="1" applyBorder="1" applyAlignment="1">
      <alignment horizontal="center" vertical="center"/>
    </xf>
    <xf numFmtId="0" fontId="1" fillId="0" borderId="3" xfId="2" applyBorder="1">
      <alignment vertical="center"/>
    </xf>
    <xf numFmtId="176" fontId="11" fillId="0" borderId="3" xfId="2" applyNumberFormat="1" applyFont="1" applyBorder="1" applyAlignment="1">
      <alignment horizontal="right" vertical="center"/>
    </xf>
    <xf numFmtId="0" fontId="1" fillId="0" borderId="0" xfId="2">
      <alignment vertical="center"/>
    </xf>
    <xf numFmtId="0" fontId="1" fillId="0" borderId="0" xfId="2" applyAlignment="1">
      <alignment horizontal="left" vertical="center"/>
    </xf>
    <xf numFmtId="0" fontId="1" fillId="0" borderId="3" xfId="2" applyBorder="1" applyAlignment="1">
      <alignment horizontal="center" vertical="center" wrapText="1"/>
    </xf>
    <xf numFmtId="0" fontId="1" fillId="0" borderId="0" xfId="2" applyAlignment="1">
      <alignment horizontal="center" vertical="center" wrapText="1"/>
    </xf>
    <xf numFmtId="49" fontId="11" fillId="0" borderId="3" xfId="2" applyNumberFormat="1" applyFont="1" applyBorder="1" applyAlignment="1">
      <alignment horizontal="center" vertical="center"/>
    </xf>
    <xf numFmtId="0" fontId="11" fillId="0" borderId="3" xfId="2" applyFont="1" applyBorder="1" applyAlignment="1">
      <alignment horizontal="left" vertical="center"/>
    </xf>
    <xf numFmtId="0" fontId="11" fillId="0" borderId="3" xfId="2" applyFont="1" applyBorder="1" applyAlignment="1">
      <alignment horizontal="center" vertical="center"/>
    </xf>
    <xf numFmtId="187" fontId="11" fillId="0" borderId="3" xfId="2" applyNumberFormat="1" applyFont="1" applyBorder="1" applyAlignment="1">
      <alignment horizontal="right" vertical="center"/>
    </xf>
    <xf numFmtId="0" fontId="11" fillId="0" borderId="0" xfId="2" applyFont="1">
      <alignment vertical="center"/>
    </xf>
    <xf numFmtId="0" fontId="1" fillId="0" borderId="3" xfId="2" applyBorder="1" applyAlignment="1">
      <alignment horizontal="center" vertical="center"/>
    </xf>
    <xf numFmtId="38" fontId="0" fillId="0" borderId="0" xfId="3" applyFont="1" applyAlignment="1">
      <alignment vertical="center"/>
    </xf>
    <xf numFmtId="0" fontId="2" fillId="0" borderId="0" xfId="0" applyFont="1" applyAlignment="1">
      <alignment horizontal="right" vertical="center" wrapText="1"/>
    </xf>
    <xf numFmtId="0" fontId="0" fillId="0" borderId="0" xfId="0" applyAlignment="1">
      <alignment horizontal="right" vertical="center" wrapText="1"/>
    </xf>
    <xf numFmtId="0" fontId="0" fillId="0" borderId="0" xfId="0" applyAlignment="1">
      <alignment vertical="center" wrapText="1"/>
    </xf>
    <xf numFmtId="0" fontId="0" fillId="0" borderId="0" xfId="0" applyAlignment="1">
      <alignment horizontal="center" vertical="center" wrapText="1"/>
    </xf>
    <xf numFmtId="49" fontId="10" fillId="0" borderId="78" xfId="0" applyNumberFormat="1" applyFont="1" applyBorder="1" applyAlignment="1">
      <alignment vertical="center"/>
    </xf>
    <xf numFmtId="49" fontId="10" fillId="0" borderId="81" xfId="0" applyNumberFormat="1" applyFont="1" applyBorder="1" applyAlignment="1">
      <alignment horizontal="center" vertical="center"/>
    </xf>
    <xf numFmtId="14" fontId="10" fillId="0" borderId="81" xfId="0" applyNumberFormat="1" applyFont="1" applyBorder="1" applyAlignment="1">
      <alignment horizontal="right" vertical="center"/>
    </xf>
    <xf numFmtId="180" fontId="10" fillId="0" borderId="81" xfId="0" applyNumberFormat="1" applyFont="1" applyBorder="1" applyAlignment="1">
      <alignment horizontal="right" vertical="center"/>
    </xf>
    <xf numFmtId="40" fontId="10" fillId="0" borderId="81" xfId="0" applyNumberFormat="1" applyFont="1" applyBorder="1" applyAlignment="1">
      <alignment horizontal="right" vertical="center"/>
    </xf>
    <xf numFmtId="7" fontId="10" fillId="0" borderId="81" xfId="0" applyNumberFormat="1" applyFont="1" applyBorder="1" applyAlignment="1">
      <alignment horizontal="right" vertical="center"/>
    </xf>
    <xf numFmtId="5" fontId="10" fillId="0" borderId="81" xfId="0" applyNumberFormat="1" applyFont="1" applyBorder="1" applyAlignment="1">
      <alignment horizontal="right" vertical="center"/>
    </xf>
    <xf numFmtId="49" fontId="10" fillId="0" borderId="84" xfId="0" applyNumberFormat="1" applyFont="1" applyBorder="1" applyAlignment="1">
      <alignment vertical="center"/>
    </xf>
    <xf numFmtId="49" fontId="10" fillId="0" borderId="86" xfId="0" applyNumberFormat="1" applyFont="1" applyBorder="1" applyAlignment="1">
      <alignment vertical="center"/>
    </xf>
    <xf numFmtId="49" fontId="10" fillId="0" borderId="87" xfId="0" applyNumberFormat="1" applyFont="1" applyBorder="1" applyAlignment="1">
      <alignment vertical="center"/>
    </xf>
    <xf numFmtId="0" fontId="10" fillId="0" borderId="90" xfId="0" applyFont="1" applyBorder="1" applyAlignment="1">
      <alignment horizontal="center" vertical="center"/>
    </xf>
    <xf numFmtId="40" fontId="10" fillId="0" borderId="88" xfId="0" applyNumberFormat="1" applyFont="1" applyBorder="1" applyAlignment="1">
      <alignment horizontal="right" vertical="center"/>
    </xf>
    <xf numFmtId="40" fontId="10" fillId="0" borderId="91" xfId="0" applyNumberFormat="1" applyFont="1" applyBorder="1" applyAlignment="1">
      <alignment horizontal="right" vertical="center"/>
    </xf>
    <xf numFmtId="40" fontId="10" fillId="0" borderId="89" xfId="0" applyNumberFormat="1" applyFont="1" applyBorder="1" applyAlignment="1">
      <alignment horizontal="right" vertical="center"/>
    </xf>
    <xf numFmtId="14" fontId="10" fillId="0" borderId="90" xfId="0" applyNumberFormat="1" applyFont="1" applyBorder="1" applyAlignment="1">
      <alignment horizontal="right" vertical="center"/>
    </xf>
    <xf numFmtId="180" fontId="10" fillId="0" borderId="90" xfId="0" applyNumberFormat="1" applyFont="1" applyBorder="1" applyAlignment="1">
      <alignment horizontal="right" vertical="center"/>
    </xf>
    <xf numFmtId="40" fontId="10" fillId="0" borderId="90" xfId="0" applyNumberFormat="1" applyFont="1" applyBorder="1" applyAlignment="1">
      <alignment horizontal="right" vertical="center"/>
    </xf>
    <xf numFmtId="7" fontId="10" fillId="0" borderId="90" xfId="0" applyNumberFormat="1" applyFont="1" applyBorder="1" applyAlignment="1">
      <alignment horizontal="right" vertical="center"/>
    </xf>
    <xf numFmtId="5" fontId="10" fillId="0" borderId="90" xfId="0" applyNumberFormat="1" applyFont="1" applyBorder="1" applyAlignment="1">
      <alignment horizontal="right" vertical="center"/>
    </xf>
    <xf numFmtId="0" fontId="2" fillId="0" borderId="0" xfId="0" applyFont="1" applyAlignment="1">
      <alignment vertical="center" wrapText="1"/>
    </xf>
    <xf numFmtId="0" fontId="6" fillId="0" borderId="0" xfId="0" applyFont="1" applyAlignment="1">
      <alignment horizontal="right" vertical="center"/>
    </xf>
    <xf numFmtId="0" fontId="18" fillId="0" borderId="0" xfId="0" applyFont="1" applyAlignment="1">
      <alignment horizontal="right" vertical="center"/>
    </xf>
    <xf numFmtId="0" fontId="5" fillId="0" borderId="0" xfId="0" applyFont="1" applyAlignment="1">
      <alignment horizontal="right" vertical="center"/>
    </xf>
    <xf numFmtId="38" fontId="13" fillId="0" borderId="47" xfId="0" applyNumberFormat="1" applyFont="1" applyBorder="1" applyAlignment="1">
      <alignment horizontal="right" vertical="center"/>
    </xf>
    <xf numFmtId="0" fontId="13" fillId="0" borderId="9" xfId="0" applyFont="1" applyBorder="1" applyAlignment="1">
      <alignment horizontal="right" vertical="center"/>
    </xf>
    <xf numFmtId="0" fontId="13" fillId="0" borderId="53" xfId="0" applyFont="1" applyBorder="1" applyAlignment="1">
      <alignment horizontal="right" vertical="center"/>
    </xf>
    <xf numFmtId="0" fontId="13" fillId="0" borderId="59" xfId="0" applyFont="1" applyBorder="1" applyAlignment="1">
      <alignment horizontal="right" vertical="center"/>
    </xf>
    <xf numFmtId="14" fontId="13" fillId="0" borderId="3" xfId="0" applyNumberFormat="1" applyFont="1" applyBorder="1" applyAlignment="1">
      <alignment horizontal="center" vertical="center"/>
    </xf>
    <xf numFmtId="183" fontId="13" fillId="0" borderId="8" xfId="0" applyNumberFormat="1" applyFont="1" applyBorder="1" applyAlignment="1">
      <alignment horizontal="center" vertical="center"/>
    </xf>
    <xf numFmtId="4" fontId="13" fillId="0" borderId="60" xfId="0" applyNumberFormat="1" applyFont="1" applyBorder="1" applyAlignment="1">
      <alignment vertical="center"/>
    </xf>
    <xf numFmtId="181" fontId="13" fillId="0" borderId="52" xfId="0" applyNumberFormat="1" applyFont="1" applyBorder="1" applyAlignment="1">
      <alignment horizontal="center" vertical="center"/>
    </xf>
    <xf numFmtId="181" fontId="13" fillId="0" borderId="9" xfId="0" applyNumberFormat="1" applyFont="1" applyBorder="1" applyAlignment="1">
      <alignment horizontal="center" vertical="center"/>
    </xf>
    <xf numFmtId="184" fontId="13" fillId="0" borderId="9" xfId="0" applyNumberFormat="1" applyFont="1" applyBorder="1" applyAlignment="1">
      <alignment horizontal="right" vertical="center"/>
    </xf>
    <xf numFmtId="191" fontId="13" fillId="0" borderId="9" xfId="0" applyNumberFormat="1" applyFont="1" applyBorder="1" applyAlignment="1">
      <alignment horizontal="right" vertical="center"/>
    </xf>
    <xf numFmtId="6" fontId="13" fillId="0" borderId="9" xfId="0" applyNumberFormat="1" applyFont="1" applyBorder="1" applyAlignment="1">
      <alignment horizontal="right" vertical="center"/>
    </xf>
    <xf numFmtId="181" fontId="13" fillId="0" borderId="53" xfId="0" applyNumberFormat="1" applyFont="1" applyBorder="1" applyAlignment="1">
      <alignment horizontal="center" vertical="center"/>
    </xf>
    <xf numFmtId="184" fontId="13" fillId="0" borderId="53" xfId="0" applyNumberFormat="1" applyFont="1" applyBorder="1" applyAlignment="1">
      <alignment horizontal="right" vertical="center"/>
    </xf>
    <xf numFmtId="191" fontId="13" fillId="0" borderId="53" xfId="0" applyNumberFormat="1" applyFont="1" applyBorder="1" applyAlignment="1">
      <alignment horizontal="right" vertical="center"/>
    </xf>
    <xf numFmtId="6" fontId="13" fillId="0" borderId="53" xfId="0" applyNumberFormat="1" applyFont="1" applyBorder="1" applyAlignment="1">
      <alignment horizontal="right" vertical="center"/>
    </xf>
    <xf numFmtId="181" fontId="13" fillId="0" borderId="56" xfId="0" applyNumberFormat="1" applyFont="1" applyBorder="1" applyAlignment="1">
      <alignment horizontal="center" vertical="center"/>
    </xf>
    <xf numFmtId="181" fontId="13" fillId="0" borderId="59" xfId="0" applyNumberFormat="1" applyFont="1" applyBorder="1" applyAlignment="1">
      <alignment horizontal="center" vertical="center"/>
    </xf>
    <xf numFmtId="184" fontId="13" fillId="0" borderId="59" xfId="0" applyNumberFormat="1" applyFont="1" applyBorder="1" applyAlignment="1">
      <alignment horizontal="right" vertical="center"/>
    </xf>
    <xf numFmtId="191" fontId="13" fillId="0" borderId="59" xfId="0" applyNumberFormat="1" applyFont="1" applyBorder="1" applyAlignment="1">
      <alignment horizontal="right" vertical="center"/>
    </xf>
    <xf numFmtId="6" fontId="13" fillId="0" borderId="59" xfId="0" applyNumberFormat="1" applyFont="1" applyBorder="1" applyAlignment="1">
      <alignment horizontal="right" vertical="center"/>
    </xf>
    <xf numFmtId="181" fontId="13" fillId="0" borderId="3" xfId="0" applyNumberFormat="1" applyFont="1" applyBorder="1" applyAlignment="1">
      <alignment horizontal="center" vertical="center"/>
    </xf>
    <xf numFmtId="181" fontId="13" fillId="0" borderId="12" xfId="0" applyNumberFormat="1" applyFont="1" applyBorder="1" applyAlignment="1">
      <alignment horizontal="center" vertical="center"/>
    </xf>
    <xf numFmtId="183" fontId="13" fillId="0" borderId="8" xfId="0" applyNumberFormat="1" applyFont="1" applyBorder="1" applyAlignment="1">
      <alignment horizontal="right" vertical="center"/>
    </xf>
    <xf numFmtId="4" fontId="13" fillId="0" borderId="60" xfId="0" applyNumberFormat="1" applyFont="1" applyBorder="1" applyAlignment="1">
      <alignment horizontal="right" vertical="center"/>
    </xf>
    <xf numFmtId="6" fontId="13" fillId="0" borderId="12" xfId="0" applyNumberFormat="1" applyFont="1" applyBorder="1" applyAlignment="1">
      <alignment horizontal="right" vertical="center"/>
    </xf>
    <xf numFmtId="0" fontId="11" fillId="0" borderId="0" xfId="0" applyFont="1" applyAlignment="1">
      <alignment horizontal="right" vertical="center"/>
    </xf>
    <xf numFmtId="0" fontId="13" fillId="0" borderId="9" xfId="0" applyFont="1" applyBorder="1" applyAlignment="1">
      <alignment vertical="center"/>
    </xf>
    <xf numFmtId="0" fontId="13" fillId="0" borderId="76" xfId="0" applyFont="1" applyBorder="1" applyAlignment="1">
      <alignment horizontal="center" vertical="center"/>
    </xf>
    <xf numFmtId="3" fontId="13" fillId="0" borderId="12" xfId="0" applyNumberFormat="1" applyFont="1" applyBorder="1" applyAlignment="1">
      <alignment horizontal="right" vertical="center"/>
    </xf>
    <xf numFmtId="0" fontId="14" fillId="0" borderId="0" xfId="0" applyFont="1" applyAlignment="1">
      <alignment horizontal="right" vertical="center"/>
    </xf>
    <xf numFmtId="49" fontId="13" fillId="0" borderId="49" xfId="0" applyNumberFormat="1" applyFont="1" applyBorder="1" applyAlignment="1">
      <alignment horizontal="right" vertical="center"/>
    </xf>
    <xf numFmtId="14" fontId="13" fillId="0" borderId="50" xfId="0" applyNumberFormat="1" applyFont="1" applyBorder="1" applyAlignment="1">
      <alignment horizontal="right" vertical="center"/>
    </xf>
    <xf numFmtId="180" fontId="13" fillId="0" borderId="52" xfId="0" applyNumberFormat="1" applyFont="1" applyBorder="1" applyAlignment="1">
      <alignment horizontal="center" vertical="center"/>
    </xf>
    <xf numFmtId="180" fontId="13" fillId="0" borderId="9" xfId="0" applyNumberFormat="1" applyFont="1" applyBorder="1" applyAlignment="1">
      <alignment horizontal="center" vertical="center"/>
    </xf>
    <xf numFmtId="8" fontId="13" fillId="0" borderId="9" xfId="0" applyNumberFormat="1" applyFont="1" applyBorder="1" applyAlignment="1">
      <alignment horizontal="right" vertical="center"/>
    </xf>
    <xf numFmtId="49" fontId="13" fillId="0" borderId="53" xfId="0" applyNumberFormat="1" applyFont="1" applyBorder="1" applyAlignment="1">
      <alignment horizontal="right" vertical="center"/>
    </xf>
    <xf numFmtId="14" fontId="13" fillId="0" borderId="54" xfId="0" applyNumberFormat="1" applyFont="1" applyBorder="1" applyAlignment="1">
      <alignment horizontal="right" vertical="center"/>
    </xf>
    <xf numFmtId="180" fontId="13" fillId="0" borderId="53" xfId="0" applyNumberFormat="1" applyFont="1" applyBorder="1" applyAlignment="1">
      <alignment horizontal="center" vertical="center"/>
    </xf>
    <xf numFmtId="8" fontId="13" fillId="0" borderId="53" xfId="0" applyNumberFormat="1" applyFont="1" applyBorder="1" applyAlignment="1">
      <alignment horizontal="right" vertical="center"/>
    </xf>
    <xf numFmtId="49" fontId="13" fillId="0" borderId="56" xfId="0" applyNumberFormat="1" applyFont="1" applyBorder="1" applyAlignment="1">
      <alignment horizontal="right" vertical="center"/>
    </xf>
    <xf numFmtId="14" fontId="13" fillId="0" borderId="93" xfId="0" applyNumberFormat="1" applyFont="1" applyBorder="1" applyAlignment="1">
      <alignment horizontal="right" vertical="center"/>
    </xf>
    <xf numFmtId="180" fontId="13" fillId="0" borderId="56" xfId="0" applyNumberFormat="1" applyFont="1" applyBorder="1" applyAlignment="1">
      <alignment horizontal="center" vertical="center"/>
    </xf>
    <xf numFmtId="180" fontId="13" fillId="0" borderId="59" xfId="0" applyNumberFormat="1" applyFont="1" applyBorder="1" applyAlignment="1">
      <alignment horizontal="center" vertical="center"/>
    </xf>
    <xf numFmtId="8" fontId="13" fillId="0" borderId="59" xfId="0" applyNumberFormat="1" applyFont="1" applyBorder="1" applyAlignment="1">
      <alignment horizontal="right" vertical="center"/>
    </xf>
    <xf numFmtId="187" fontId="13" fillId="0" borderId="12" xfId="0" applyNumberFormat="1" applyFont="1" applyBorder="1" applyAlignment="1">
      <alignment horizontal="right" vertical="center"/>
    </xf>
    <xf numFmtId="0" fontId="0" fillId="0" borderId="7" xfId="0" applyBorder="1" applyAlignment="1">
      <alignment vertical="center"/>
    </xf>
    <xf numFmtId="58" fontId="2" fillId="0" borderId="0" xfId="0" applyNumberFormat="1" applyFont="1" applyAlignment="1">
      <alignment vertical="center"/>
    </xf>
    <xf numFmtId="0" fontId="1" fillId="0" borderId="0" xfId="0" applyFont="1" applyAlignment="1">
      <alignment horizontal="distributed" vertical="center"/>
    </xf>
    <xf numFmtId="0" fontId="11" fillId="0" borderId="7" xfId="0" applyFont="1" applyBorder="1" applyAlignment="1">
      <alignment vertical="center"/>
    </xf>
    <xf numFmtId="0" fontId="2" fillId="0" borderId="7" xfId="0" applyFont="1" applyBorder="1" applyAlignment="1">
      <alignment horizontal="right" vertical="center"/>
    </xf>
    <xf numFmtId="0" fontId="0" fillId="0" borderId="94" xfId="0" applyBorder="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176" fontId="7" fillId="0" borderId="0" xfId="1" applyNumberFormat="1" applyFont="1" applyAlignment="1">
      <alignment horizontal="right" vertical="center"/>
    </xf>
    <xf numFmtId="0" fontId="2" fillId="0" borderId="0" xfId="0" applyFont="1" applyAlignment="1">
      <alignment horizontal="right" vertical="center"/>
    </xf>
    <xf numFmtId="0" fontId="4" fillId="0" borderId="0" xfId="0" applyFont="1" applyAlignment="1">
      <alignment horizontal="center" vertical="center"/>
    </xf>
    <xf numFmtId="0" fontId="5" fillId="0" borderId="0" xfId="0" applyFont="1" applyAlignment="1">
      <alignment horizontal="left" vertical="center" indent="1"/>
    </xf>
    <xf numFmtId="0" fontId="1" fillId="0" borderId="0" xfId="0" applyFont="1" applyAlignment="1">
      <alignment horizontal="left" indent="1"/>
    </xf>
    <xf numFmtId="0" fontId="2" fillId="0" borderId="0" xfId="0" applyFont="1" applyAlignment="1">
      <alignment horizontal="left" vertical="top" indent="1"/>
    </xf>
    <xf numFmtId="0" fontId="6" fillId="3" borderId="0" xfId="0" applyFont="1" applyFill="1" applyAlignment="1">
      <alignment horizontal="center" vertical="center"/>
    </xf>
    <xf numFmtId="0" fontId="6" fillId="3" borderId="0" xfId="0" applyFont="1" applyFill="1" applyAlignment="1">
      <alignment horizontal="right" vertical="center"/>
    </xf>
    <xf numFmtId="0" fontId="8" fillId="0" borderId="0" xfId="0" applyFont="1" applyAlignment="1">
      <alignment horizontal="center"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9" fillId="0" borderId="3" xfId="0" applyFont="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38" fontId="14" fillId="5" borderId="9" xfId="0" applyNumberFormat="1" applyFont="1" applyFill="1" applyBorder="1" applyAlignment="1">
      <alignment horizontal="center" vertical="center" wrapText="1"/>
    </xf>
    <xf numFmtId="38" fontId="14" fillId="5" borderId="12" xfId="0" applyNumberFormat="1" applyFont="1" applyFill="1" applyBorder="1" applyAlignment="1">
      <alignment horizontal="center" vertical="center" wrapText="1"/>
    </xf>
    <xf numFmtId="38" fontId="3" fillId="5" borderId="9" xfId="0" applyNumberFormat="1" applyFont="1" applyFill="1" applyBorder="1" applyAlignment="1">
      <alignment horizontal="center" vertical="center" wrapText="1"/>
    </xf>
    <xf numFmtId="38" fontId="13" fillId="5" borderId="12" xfId="0" applyNumberFormat="1" applyFont="1" applyFill="1" applyBorder="1" applyAlignment="1">
      <alignment horizontal="center" vertical="center" wrapText="1"/>
    </xf>
    <xf numFmtId="38" fontId="3" fillId="6" borderId="3" xfId="0" applyNumberFormat="1" applyFont="1" applyFill="1" applyBorder="1" applyAlignment="1">
      <alignment horizontal="center" vertical="center" wrapText="1"/>
    </xf>
    <xf numFmtId="38" fontId="14" fillId="6" borderId="3" xfId="0" applyNumberFormat="1" applyFont="1" applyFill="1" applyBorder="1" applyAlignment="1">
      <alignment horizontal="center" vertical="center" wrapText="1"/>
    </xf>
    <xf numFmtId="38" fontId="13" fillId="5" borderId="9" xfId="0" applyNumberFormat="1" applyFont="1" applyFill="1" applyBorder="1" applyAlignment="1">
      <alignment horizontal="center" vertical="center" wrapText="1"/>
    </xf>
    <xf numFmtId="38" fontId="0" fillId="0" borderId="0" xfId="0" applyNumberFormat="1" applyAlignment="1">
      <alignment horizontal="center"/>
    </xf>
    <xf numFmtId="179" fontId="11" fillId="0" borderId="0" xfId="0" applyNumberFormat="1" applyFont="1" applyAlignment="1">
      <alignment horizontal="center"/>
    </xf>
    <xf numFmtId="38" fontId="10" fillId="0" borderId="0" xfId="0" applyNumberFormat="1" applyFont="1" applyAlignment="1">
      <alignment horizontal="center"/>
    </xf>
    <xf numFmtId="38" fontId="12" fillId="0" borderId="7" xfId="0" applyNumberFormat="1" applyFont="1" applyBorder="1" applyAlignment="1">
      <alignment horizontal="center"/>
    </xf>
    <xf numFmtId="38" fontId="3" fillId="5" borderId="9" xfId="0" applyNumberFormat="1" applyFont="1" applyFill="1" applyBorder="1" applyAlignment="1">
      <alignment horizontal="center" vertical="center"/>
    </xf>
    <xf numFmtId="38" fontId="3" fillId="5" borderId="12" xfId="0" applyNumberFormat="1" applyFont="1" applyFill="1" applyBorder="1" applyAlignment="1">
      <alignment horizontal="center" vertical="center"/>
    </xf>
    <xf numFmtId="38" fontId="13" fillId="5" borderId="9" xfId="0" applyNumberFormat="1" applyFont="1" applyFill="1" applyBorder="1" applyAlignment="1">
      <alignment horizontal="center" vertical="center"/>
    </xf>
    <xf numFmtId="38" fontId="13" fillId="5" borderId="12" xfId="0" applyNumberFormat="1" applyFont="1" applyFill="1" applyBorder="1" applyAlignment="1">
      <alignment horizontal="center" vertical="center"/>
    </xf>
    <xf numFmtId="38" fontId="14" fillId="5" borderId="9" xfId="0" applyNumberFormat="1" applyFont="1" applyFill="1" applyBorder="1" applyAlignment="1">
      <alignment horizontal="center" vertical="center"/>
    </xf>
    <xf numFmtId="38" fontId="14" fillId="5" borderId="12" xfId="0" applyNumberFormat="1" applyFont="1" applyFill="1" applyBorder="1" applyAlignment="1">
      <alignment horizontal="center" vertical="center"/>
    </xf>
    <xf numFmtId="38" fontId="13" fillId="5" borderId="6" xfId="0" applyNumberFormat="1" applyFont="1" applyFill="1" applyBorder="1" applyAlignment="1">
      <alignment horizontal="center" vertical="center"/>
    </xf>
    <xf numFmtId="38" fontId="13" fillId="5" borderId="4" xfId="0" applyNumberFormat="1" applyFont="1" applyFill="1" applyBorder="1" applyAlignment="1">
      <alignment horizontal="center" vertical="center"/>
    </xf>
    <xf numFmtId="38" fontId="13" fillId="5" borderId="8" xfId="0" applyNumberFormat="1" applyFont="1" applyFill="1" applyBorder="1" applyAlignment="1">
      <alignment horizontal="center" vertical="center" wrapText="1"/>
    </xf>
    <xf numFmtId="38" fontId="13" fillId="5" borderId="10" xfId="0" applyNumberFormat="1" applyFont="1" applyFill="1" applyBorder="1" applyAlignment="1">
      <alignment horizontal="center" vertical="center" wrapText="1"/>
    </xf>
    <xf numFmtId="0" fontId="14" fillId="5" borderId="9" xfId="0" applyFont="1" applyFill="1" applyBorder="1" applyAlignment="1">
      <alignment horizontal="center" vertical="center" wrapText="1"/>
    </xf>
    <xf numFmtId="0" fontId="14" fillId="5" borderId="12" xfId="0" applyFont="1" applyFill="1" applyBorder="1" applyAlignment="1">
      <alignment horizontal="center" vertical="center" wrapText="1"/>
    </xf>
    <xf numFmtId="0" fontId="3" fillId="5" borderId="9"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14" fillId="6" borderId="3" xfId="0" applyFont="1" applyFill="1" applyBorder="1" applyAlignment="1">
      <alignment horizontal="center" vertical="center" wrapText="1"/>
    </xf>
    <xf numFmtId="0" fontId="13" fillId="5" borderId="9" xfId="0" applyFont="1" applyFill="1" applyBorder="1" applyAlignment="1">
      <alignment horizontal="center" vertical="center" wrapText="1"/>
    </xf>
    <xf numFmtId="181" fontId="13" fillId="5" borderId="9" xfId="0" applyNumberFormat="1" applyFont="1" applyFill="1" applyBorder="1" applyAlignment="1">
      <alignment horizontal="center" vertical="center" wrapText="1"/>
    </xf>
    <xf numFmtId="181" fontId="13" fillId="5" borderId="12" xfId="0" applyNumberFormat="1" applyFont="1" applyFill="1" applyBorder="1" applyAlignment="1">
      <alignment horizontal="center" vertical="center" wrapText="1"/>
    </xf>
    <xf numFmtId="181" fontId="14" fillId="5" borderId="9" xfId="0" applyNumberFormat="1" applyFont="1" applyFill="1" applyBorder="1" applyAlignment="1">
      <alignment horizontal="center" vertical="center" wrapText="1"/>
    </xf>
    <xf numFmtId="181" fontId="14" fillId="5" borderId="12" xfId="0" applyNumberFormat="1" applyFont="1" applyFill="1" applyBorder="1" applyAlignment="1">
      <alignment horizontal="center" vertical="center" wrapText="1"/>
    </xf>
    <xf numFmtId="0" fontId="3" fillId="5" borderId="9" xfId="0" applyFont="1" applyFill="1" applyBorder="1" applyAlignment="1">
      <alignment horizontal="center" vertical="center"/>
    </xf>
    <xf numFmtId="0" fontId="3" fillId="5" borderId="12" xfId="0" applyFont="1" applyFill="1" applyBorder="1" applyAlignment="1">
      <alignment horizontal="center" vertical="center"/>
    </xf>
    <xf numFmtId="0" fontId="13" fillId="5" borderId="9" xfId="0" applyFont="1" applyFill="1" applyBorder="1" applyAlignment="1">
      <alignment horizontal="center" vertical="center"/>
    </xf>
    <xf numFmtId="0" fontId="13" fillId="5" borderId="12" xfId="0" applyFont="1" applyFill="1" applyBorder="1" applyAlignment="1">
      <alignment horizontal="center" vertical="center"/>
    </xf>
    <xf numFmtId="0" fontId="14" fillId="5" borderId="9" xfId="0" applyFont="1" applyFill="1" applyBorder="1" applyAlignment="1">
      <alignment horizontal="center" vertical="center"/>
    </xf>
    <xf numFmtId="0" fontId="14" fillId="5" borderId="12" xfId="0" applyFont="1" applyFill="1" applyBorder="1" applyAlignment="1">
      <alignment horizontal="center" vertical="center"/>
    </xf>
    <xf numFmtId="14" fontId="13" fillId="5" borderId="9" xfId="0" applyNumberFormat="1" applyFont="1" applyFill="1" applyBorder="1" applyAlignment="1">
      <alignment horizontal="center" vertical="center"/>
    </xf>
    <xf numFmtId="14" fontId="13" fillId="5" borderId="12" xfId="0" applyNumberFormat="1" applyFont="1" applyFill="1" applyBorder="1" applyAlignment="1">
      <alignment horizontal="center" vertical="center"/>
    </xf>
    <xf numFmtId="0" fontId="13" fillId="5" borderId="6" xfId="0" applyFont="1" applyFill="1" applyBorder="1" applyAlignment="1">
      <alignment horizontal="center" vertical="center"/>
    </xf>
    <xf numFmtId="0" fontId="13" fillId="5" borderId="4" xfId="0" applyFont="1" applyFill="1" applyBorder="1" applyAlignment="1">
      <alignment horizontal="center" vertical="center"/>
    </xf>
    <xf numFmtId="180" fontId="13" fillId="5" borderId="9" xfId="0" applyNumberFormat="1" applyFont="1" applyFill="1" applyBorder="1" applyAlignment="1">
      <alignment horizontal="center" vertical="center" wrapText="1"/>
    </xf>
    <xf numFmtId="180" fontId="13" fillId="5" borderId="12" xfId="0" applyNumberFormat="1" applyFont="1" applyFill="1" applyBorder="1" applyAlignment="1">
      <alignment horizontal="center" vertical="center" wrapText="1"/>
    </xf>
    <xf numFmtId="181" fontId="13" fillId="5" borderId="8" xfId="0" applyNumberFormat="1" applyFont="1" applyFill="1" applyBorder="1" applyAlignment="1">
      <alignment horizontal="center" vertical="center" wrapText="1"/>
    </xf>
    <xf numFmtId="181" fontId="13" fillId="5" borderId="10" xfId="0" applyNumberFormat="1" applyFont="1" applyFill="1" applyBorder="1" applyAlignment="1">
      <alignment horizontal="center" vertical="center" wrapText="1"/>
    </xf>
    <xf numFmtId="0" fontId="13" fillId="0" borderId="0" xfId="0" applyFont="1" applyAlignment="1">
      <alignment horizontal="right" vertical="center"/>
    </xf>
    <xf numFmtId="14" fontId="13" fillId="0" borderId="54" xfId="0" applyNumberFormat="1" applyFont="1" applyBorder="1" applyAlignment="1">
      <alignment horizontal="center" vertical="center"/>
    </xf>
    <xf numFmtId="14" fontId="13" fillId="0" borderId="55" xfId="0" applyNumberFormat="1" applyFont="1" applyBorder="1" applyAlignment="1">
      <alignment horizontal="center" vertical="center"/>
    </xf>
    <xf numFmtId="4" fontId="13" fillId="0" borderId="54" xfId="0" applyNumberFormat="1" applyFont="1" applyBorder="1" applyAlignment="1">
      <alignment horizontal="center" vertical="center"/>
    </xf>
    <xf numFmtId="4" fontId="13" fillId="0" borderId="55" xfId="0" applyNumberFormat="1" applyFont="1" applyBorder="1" applyAlignment="1">
      <alignment horizontal="center" vertical="center"/>
    </xf>
    <xf numFmtId="5" fontId="13" fillId="0" borderId="54" xfId="0" applyNumberFormat="1" applyFont="1" applyBorder="1" applyAlignment="1">
      <alignment horizontal="right" vertical="center"/>
    </xf>
    <xf numFmtId="5" fontId="13" fillId="0" borderId="55" xfId="0" applyNumberFormat="1" applyFont="1" applyBorder="1" applyAlignment="1">
      <alignment horizontal="right" vertical="center"/>
    </xf>
    <xf numFmtId="14" fontId="13" fillId="0" borderId="57" xfId="0" applyNumberFormat="1" applyFont="1" applyBorder="1" applyAlignment="1">
      <alignment horizontal="center" vertical="center"/>
    </xf>
    <xf numFmtId="14" fontId="13" fillId="0" borderId="58" xfId="0" applyNumberFormat="1" applyFont="1" applyBorder="1" applyAlignment="1">
      <alignment horizontal="center" vertical="center"/>
    </xf>
    <xf numFmtId="4" fontId="13" fillId="0" borderId="57" xfId="0" applyNumberFormat="1" applyFont="1" applyBorder="1" applyAlignment="1">
      <alignment horizontal="center" vertical="center"/>
    </xf>
    <xf numFmtId="4" fontId="13" fillId="0" borderId="58" xfId="0" applyNumberFormat="1" applyFont="1" applyBorder="1" applyAlignment="1">
      <alignment horizontal="center" vertical="center"/>
    </xf>
    <xf numFmtId="5" fontId="13" fillId="0" borderId="11" xfId="0" applyNumberFormat="1" applyFont="1" applyBorder="1" applyAlignment="1">
      <alignment horizontal="right" vertical="center"/>
    </xf>
    <xf numFmtId="5" fontId="13" fillId="0" borderId="48" xfId="0" applyNumberFormat="1" applyFont="1" applyBorder="1" applyAlignment="1">
      <alignment horizontal="right" vertical="center"/>
    </xf>
    <xf numFmtId="14" fontId="13" fillId="0" borderId="4" xfId="0" applyNumberFormat="1" applyFont="1" applyBorder="1" applyAlignment="1">
      <alignment horizontal="center" vertical="center"/>
    </xf>
    <xf numFmtId="14" fontId="13" fillId="0" borderId="5" xfId="0" applyNumberFormat="1" applyFont="1" applyBorder="1" applyAlignment="1">
      <alignment horizontal="center" vertical="center"/>
    </xf>
    <xf numFmtId="14" fontId="13" fillId="0" borderId="6" xfId="0" applyNumberFormat="1" applyFont="1" applyBorder="1" applyAlignment="1">
      <alignment horizontal="center" vertical="center"/>
    </xf>
    <xf numFmtId="4" fontId="13" fillId="0" borderId="54" xfId="0" applyNumberFormat="1" applyFont="1" applyBorder="1" applyAlignment="1">
      <alignment horizontal="right" vertical="center"/>
    </xf>
    <xf numFmtId="4" fontId="13" fillId="0" borderId="55" xfId="0" applyNumberFormat="1" applyFont="1" applyBorder="1" applyAlignment="1">
      <alignment horizontal="right" vertical="center"/>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48" xfId="0" applyFont="1" applyBorder="1" applyAlignment="1">
      <alignment horizontal="center" vertical="center" wrapText="1"/>
    </xf>
    <xf numFmtId="14" fontId="13" fillId="0" borderId="50" xfId="0" applyNumberFormat="1" applyFont="1" applyBorder="1" applyAlignment="1">
      <alignment horizontal="center" vertical="center"/>
    </xf>
    <xf numFmtId="14" fontId="13" fillId="0" borderId="51" xfId="0" applyNumberFormat="1" applyFont="1" applyBorder="1" applyAlignment="1">
      <alignment horizontal="center" vertical="center"/>
    </xf>
    <xf numFmtId="4" fontId="13" fillId="0" borderId="50" xfId="0" applyNumberFormat="1" applyFont="1" applyBorder="1" applyAlignment="1">
      <alignment horizontal="center" vertical="center"/>
    </xf>
    <xf numFmtId="4" fontId="13" fillId="0" borderId="51" xfId="0" applyNumberFormat="1" applyFont="1" applyBorder="1" applyAlignment="1">
      <alignment horizontal="center" vertical="center"/>
    </xf>
    <xf numFmtId="5" fontId="13" fillId="0" borderId="8" xfId="0" applyNumberFormat="1" applyFont="1" applyBorder="1" applyAlignment="1">
      <alignment horizontal="right" vertical="center"/>
    </xf>
    <xf numFmtId="5" fontId="13" fillId="0" borderId="10" xfId="0" applyNumberFormat="1" applyFont="1" applyBorder="1" applyAlignment="1">
      <alignment horizontal="right" vertical="center"/>
    </xf>
    <xf numFmtId="0" fontId="13" fillId="0" borderId="9" xfId="0" applyFont="1" applyBorder="1" applyAlignment="1">
      <alignment horizontal="center" vertical="center" wrapText="1"/>
    </xf>
    <xf numFmtId="0" fontId="13" fillId="0" borderId="12" xfId="0" applyFont="1" applyBorder="1" applyAlignment="1">
      <alignment horizontal="center" vertical="center" wrapText="1"/>
    </xf>
    <xf numFmtId="0" fontId="13" fillId="0" borderId="3" xfId="0" applyFont="1" applyBorder="1" applyAlignment="1">
      <alignment horizontal="center" vertical="center" wrapText="1"/>
    </xf>
    <xf numFmtId="3" fontId="13" fillId="0" borderId="3" xfId="0" applyNumberFormat="1" applyFont="1" applyBorder="1" applyAlignment="1">
      <alignment horizontal="center" vertical="center"/>
    </xf>
    <xf numFmtId="3" fontId="13" fillId="0" borderId="3" xfId="0" applyNumberFormat="1" applyFont="1" applyBorder="1" applyAlignment="1">
      <alignment horizontal="right" vertical="center"/>
    </xf>
    <xf numFmtId="3" fontId="13" fillId="0" borderId="4" xfId="0" applyNumberFormat="1" applyFont="1" applyBorder="1" applyAlignment="1">
      <alignment horizontal="right" vertical="center"/>
    </xf>
    <xf numFmtId="3" fontId="13" fillId="0" borderId="6" xfId="0" applyNumberFormat="1" applyFont="1" applyBorder="1" applyAlignment="1">
      <alignment horizontal="right" vertical="center"/>
    </xf>
    <xf numFmtId="0" fontId="13" fillId="0" borderId="7" xfId="0" applyFont="1" applyBorder="1" applyAlignment="1">
      <alignment vertical="center"/>
    </xf>
    <xf numFmtId="0" fontId="13" fillId="0" borderId="7" xfId="0" applyFont="1" applyBorder="1" applyAlignment="1">
      <alignment horizontal="center" vertical="center"/>
    </xf>
    <xf numFmtId="0" fontId="13" fillId="0" borderId="3" xfId="0" applyFont="1" applyBorder="1" applyAlignment="1">
      <alignment horizontal="center" vertical="center"/>
    </xf>
    <xf numFmtId="0" fontId="13" fillId="0" borderId="10" xfId="0" applyFont="1" applyBorder="1" applyAlignment="1">
      <alignment horizontal="center" vertical="center"/>
    </xf>
    <xf numFmtId="0" fontId="13" fillId="0" borderId="11" xfId="0" applyFont="1" applyBorder="1" applyAlignment="1">
      <alignment horizontal="center" vertical="center"/>
    </xf>
    <xf numFmtId="0" fontId="13" fillId="0" borderId="48" xfId="0" applyFont="1" applyBorder="1" applyAlignment="1">
      <alignment horizontal="center" vertical="center"/>
    </xf>
    <xf numFmtId="0" fontId="13" fillId="0" borderId="8" xfId="0" applyFont="1" applyBorder="1" applyAlignment="1">
      <alignment horizontal="center" vertical="center"/>
    </xf>
    <xf numFmtId="0" fontId="13" fillId="0" borderId="4" xfId="0" applyFont="1" applyBorder="1" applyAlignment="1">
      <alignment horizontal="center" vertical="center"/>
    </xf>
    <xf numFmtId="0" fontId="13" fillId="0" borderId="6" xfId="0" applyFont="1" applyBorder="1" applyAlignment="1">
      <alignment horizontal="center" vertical="center"/>
    </xf>
    <xf numFmtId="0" fontId="13" fillId="0" borderId="9" xfId="0" applyFont="1" applyBorder="1" applyAlignment="1">
      <alignment horizontal="center" vertical="center"/>
    </xf>
    <xf numFmtId="0" fontId="13" fillId="0" borderId="12" xfId="0" applyFont="1" applyBorder="1" applyAlignment="1">
      <alignment horizontal="center" vertical="center"/>
    </xf>
    <xf numFmtId="0" fontId="0" fillId="0" borderId="0" xfId="0" applyAlignment="1">
      <alignment horizontal="right" vertical="center"/>
    </xf>
    <xf numFmtId="0" fontId="10" fillId="0" borderId="0" xfId="0" applyFont="1" applyAlignment="1">
      <alignment horizontal="center" vertical="center"/>
    </xf>
    <xf numFmtId="0" fontId="10" fillId="0" borderId="7" xfId="0" applyFont="1" applyBorder="1" applyAlignment="1">
      <alignment horizontal="center" vertical="center"/>
    </xf>
    <xf numFmtId="0" fontId="13" fillId="0" borderId="0" xfId="0" applyFont="1" applyAlignment="1">
      <alignment horizontal="left" vertical="center"/>
    </xf>
    <xf numFmtId="0" fontId="13" fillId="0" borderId="0" xfId="0" applyFont="1" applyAlignment="1">
      <alignment horizontal="center" vertical="center"/>
    </xf>
    <xf numFmtId="4" fontId="13" fillId="0" borderId="57" xfId="0" applyNumberFormat="1" applyFont="1" applyBorder="1" applyAlignment="1">
      <alignment horizontal="right" vertical="center"/>
    </xf>
    <xf numFmtId="4" fontId="13" fillId="0" borderId="58" xfId="0" applyNumberFormat="1" applyFont="1" applyBorder="1" applyAlignment="1">
      <alignment horizontal="right" vertical="center"/>
    </xf>
    <xf numFmtId="5" fontId="13" fillId="0" borderId="57" xfId="0" applyNumberFormat="1" applyFont="1" applyBorder="1" applyAlignment="1">
      <alignment horizontal="right" vertical="center"/>
    </xf>
    <xf numFmtId="5" fontId="13" fillId="0" borderId="58" xfId="0" applyNumberFormat="1" applyFont="1" applyBorder="1" applyAlignment="1">
      <alignment horizontal="right" vertical="center"/>
    </xf>
    <xf numFmtId="5" fontId="13" fillId="0" borderId="4" xfId="0" applyNumberFormat="1" applyFont="1" applyBorder="1" applyAlignment="1">
      <alignment horizontal="right" vertical="center"/>
    </xf>
    <xf numFmtId="5" fontId="13" fillId="0" borderId="6" xfId="0" applyNumberFormat="1" applyFont="1" applyBorder="1" applyAlignment="1">
      <alignment horizontal="right" vertical="center"/>
    </xf>
    <xf numFmtId="4" fontId="13" fillId="0" borderId="50" xfId="0" applyNumberFormat="1" applyFont="1" applyBorder="1" applyAlignment="1">
      <alignment horizontal="right" vertical="center"/>
    </xf>
    <xf numFmtId="4" fontId="13" fillId="0" borderId="51" xfId="0" applyNumberFormat="1" applyFont="1" applyBorder="1" applyAlignment="1">
      <alignment horizontal="right" vertical="center"/>
    </xf>
    <xf numFmtId="5" fontId="13" fillId="0" borderId="50" xfId="0" applyNumberFormat="1" applyFont="1" applyBorder="1" applyAlignment="1">
      <alignment horizontal="right" vertical="center"/>
    </xf>
    <xf numFmtId="5" fontId="13" fillId="0" borderId="51" xfId="0" applyNumberFormat="1" applyFont="1" applyBorder="1" applyAlignment="1">
      <alignment horizontal="right" vertical="center"/>
    </xf>
    <xf numFmtId="0" fontId="13" fillId="0" borderId="9" xfId="0" applyFont="1" applyBorder="1" applyAlignment="1">
      <alignment horizontal="left" vertical="center" wrapText="1"/>
    </xf>
    <xf numFmtId="0" fontId="13" fillId="0" borderId="12" xfId="0" applyFont="1" applyBorder="1" applyAlignment="1">
      <alignment horizontal="left" vertical="center" wrapText="1"/>
    </xf>
    <xf numFmtId="3" fontId="19" fillId="0" borderId="3" xfId="0" applyNumberFormat="1" applyFont="1" applyBorder="1" applyAlignment="1">
      <alignment horizontal="right" vertical="center"/>
    </xf>
    <xf numFmtId="179" fontId="10" fillId="0" borderId="0" xfId="0" applyNumberFormat="1" applyFont="1" applyAlignment="1">
      <alignment horizontal="center" vertical="center"/>
    </xf>
    <xf numFmtId="179" fontId="10" fillId="0" borderId="7" xfId="0" applyNumberFormat="1" applyFont="1" applyBorder="1" applyAlignment="1">
      <alignment horizontal="center" vertical="center"/>
    </xf>
    <xf numFmtId="0" fontId="13" fillId="0" borderId="5" xfId="0" applyFont="1" applyBorder="1" applyAlignment="1">
      <alignment horizontal="center" vertical="center"/>
    </xf>
    <xf numFmtId="0" fontId="19" fillId="0" borderId="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48"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left" vertical="center"/>
    </xf>
    <xf numFmtId="0" fontId="13" fillId="0" borderId="0" xfId="0" applyFont="1" applyAlignment="1">
      <alignment horizontal="right" vertical="top"/>
    </xf>
    <xf numFmtId="0" fontId="13" fillId="0" borderId="7" xfId="0" applyFont="1" applyBorder="1" applyAlignment="1">
      <alignment horizontal="center" vertical="top"/>
    </xf>
    <xf numFmtId="0" fontId="13" fillId="0" borderId="9" xfId="0" applyFont="1" applyBorder="1" applyAlignment="1">
      <alignment horizontal="left" vertical="center"/>
    </xf>
    <xf numFmtId="0" fontId="13" fillId="0" borderId="12" xfId="0" applyFont="1" applyBorder="1" applyAlignment="1">
      <alignment horizontal="left" vertical="center"/>
    </xf>
    <xf numFmtId="40" fontId="10" fillId="0" borderId="54" xfId="0" applyNumberFormat="1" applyFont="1" applyBorder="1" applyAlignment="1">
      <alignment horizontal="right" vertical="center"/>
    </xf>
    <xf numFmtId="0" fontId="0" fillId="0" borderId="55" xfId="0" applyBorder="1"/>
    <xf numFmtId="5" fontId="10" fillId="0" borderId="54" xfId="0" applyNumberFormat="1" applyFont="1" applyBorder="1" applyAlignment="1">
      <alignment horizontal="right" vertical="center"/>
    </xf>
    <xf numFmtId="5" fontId="10" fillId="0" borderId="2" xfId="0" applyNumberFormat="1" applyFont="1" applyBorder="1" applyAlignment="1">
      <alignment horizontal="right" vertical="center"/>
    </xf>
    <xf numFmtId="0" fontId="10" fillId="0" borderId="57" xfId="0" applyFont="1" applyBorder="1" applyAlignment="1">
      <alignment horizontal="center" vertical="center" wrapText="1"/>
    </xf>
    <xf numFmtId="0" fontId="0" fillId="0" borderId="58" xfId="0" applyBorder="1"/>
    <xf numFmtId="22" fontId="10" fillId="0" borderId="57" xfId="0" applyNumberFormat="1" applyFont="1" applyBorder="1" applyAlignment="1">
      <alignment horizontal="center" vertical="center"/>
    </xf>
    <xf numFmtId="180" fontId="10" fillId="0" borderId="57" xfId="0" applyNumberFormat="1" applyFont="1" applyBorder="1" applyAlignment="1">
      <alignment horizontal="center" vertical="center"/>
    </xf>
    <xf numFmtId="184" fontId="10" fillId="0" borderId="57" xfId="0" applyNumberFormat="1" applyFont="1" applyBorder="1" applyAlignment="1">
      <alignment horizontal="right" vertical="center"/>
    </xf>
    <xf numFmtId="40" fontId="10" fillId="0" borderId="57" xfId="0" applyNumberFormat="1" applyFont="1" applyBorder="1" applyAlignment="1">
      <alignment horizontal="right" vertical="center"/>
    </xf>
    <xf numFmtId="0" fontId="0" fillId="0" borderId="62" xfId="0" applyBorder="1"/>
    <xf numFmtId="5" fontId="10" fillId="0" borderId="57" xfId="0" applyNumberFormat="1" applyFont="1" applyBorder="1" applyAlignment="1">
      <alignment horizontal="right" vertical="center"/>
    </xf>
    <xf numFmtId="5" fontId="10" fillId="0" borderId="62" xfId="0" applyNumberFormat="1" applyFont="1" applyBorder="1" applyAlignment="1">
      <alignment horizontal="right" vertical="center"/>
    </xf>
    <xf numFmtId="0" fontId="10" fillId="0" borderId="54" xfId="0" applyFont="1" applyBorder="1" applyAlignment="1">
      <alignment horizontal="center" vertical="center" wrapText="1"/>
    </xf>
    <xf numFmtId="22" fontId="10" fillId="0" borderId="54" xfId="0" applyNumberFormat="1" applyFont="1" applyBorder="1" applyAlignment="1">
      <alignment horizontal="center" vertical="center"/>
    </xf>
    <xf numFmtId="180" fontId="10" fillId="0" borderId="54" xfId="0" applyNumberFormat="1" applyFont="1" applyBorder="1" applyAlignment="1">
      <alignment horizontal="center" vertical="center"/>
    </xf>
    <xf numFmtId="184" fontId="10" fillId="0" borderId="54" xfId="0" applyNumberFormat="1" applyFont="1" applyBorder="1" applyAlignment="1">
      <alignment horizontal="right" vertical="center"/>
    </xf>
    <xf numFmtId="0" fontId="0" fillId="0" borderId="2" xfId="0" applyBorder="1"/>
    <xf numFmtId="14" fontId="10" fillId="0" borderId="4" xfId="0" applyNumberFormat="1" applyFont="1" applyBorder="1" applyAlignment="1">
      <alignment horizontal="center" vertical="center"/>
    </xf>
    <xf numFmtId="0" fontId="0" fillId="0" borderId="5" xfId="0" applyBorder="1"/>
    <xf numFmtId="0" fontId="0" fillId="0" borderId="6" xfId="0" applyBorder="1"/>
    <xf numFmtId="180" fontId="10" fillId="0" borderId="4" xfId="0" applyNumberFormat="1" applyFont="1" applyBorder="1" applyAlignment="1">
      <alignment horizontal="center" vertical="center"/>
    </xf>
    <xf numFmtId="5" fontId="1" fillId="0" borderId="4" xfId="0" applyNumberFormat="1" applyFont="1" applyBorder="1" applyAlignment="1">
      <alignment horizontal="right" vertical="center"/>
    </xf>
    <xf numFmtId="5" fontId="1" fillId="0" borderId="5" xfId="0" applyNumberFormat="1" applyFont="1" applyBorder="1" applyAlignment="1">
      <alignment horizontal="right" vertical="center"/>
    </xf>
    <xf numFmtId="5" fontId="10" fillId="0" borderId="50" xfId="0" applyNumberFormat="1" applyFont="1" applyBorder="1" applyAlignment="1">
      <alignment horizontal="right" vertical="center"/>
    </xf>
    <xf numFmtId="5" fontId="10" fillId="0" borderId="61" xfId="0" applyNumberFormat="1" applyFont="1" applyBorder="1" applyAlignment="1">
      <alignment horizontal="right" vertical="center"/>
    </xf>
    <xf numFmtId="0" fontId="0" fillId="0" borderId="51" xfId="0" applyBorder="1"/>
    <xf numFmtId="0" fontId="10" fillId="0" borderId="50" xfId="0" applyFont="1" applyBorder="1" applyAlignment="1">
      <alignment horizontal="center" vertical="center" wrapText="1"/>
    </xf>
    <xf numFmtId="22" fontId="10" fillId="0" borderId="50" xfId="0" applyNumberFormat="1" applyFont="1" applyBorder="1" applyAlignment="1">
      <alignment horizontal="center" vertical="center"/>
    </xf>
    <xf numFmtId="180" fontId="10" fillId="0" borderId="50" xfId="0" applyNumberFormat="1" applyFont="1" applyBorder="1" applyAlignment="1">
      <alignment horizontal="center" vertical="center"/>
    </xf>
    <xf numFmtId="184" fontId="10" fillId="0" borderId="50" xfId="0" applyNumberFormat="1" applyFont="1" applyBorder="1" applyAlignment="1">
      <alignment horizontal="right" vertical="center"/>
    </xf>
    <xf numFmtId="0" fontId="10" fillId="0" borderId="9" xfId="0" applyFont="1" applyBorder="1" applyAlignment="1">
      <alignment horizontal="center" vertical="center" wrapText="1"/>
    </xf>
    <xf numFmtId="0" fontId="0" fillId="0" borderId="12" xfId="0" applyBorder="1"/>
    <xf numFmtId="0" fontId="10" fillId="0" borderId="8" xfId="0" applyFont="1" applyBorder="1" applyAlignment="1">
      <alignment horizontal="center" vertical="center" wrapText="1"/>
    </xf>
    <xf numFmtId="0" fontId="0" fillId="0" borderId="10" xfId="0" applyBorder="1"/>
    <xf numFmtId="0" fontId="0" fillId="0" borderId="11" xfId="0" applyBorder="1"/>
    <xf numFmtId="0" fontId="0" fillId="0" borderId="48" xfId="0" applyBorder="1"/>
    <xf numFmtId="40" fontId="10" fillId="0" borderId="50" xfId="0" applyNumberFormat="1" applyFont="1" applyBorder="1" applyAlignment="1">
      <alignment horizontal="right" vertical="center"/>
    </xf>
    <xf numFmtId="0" fontId="0" fillId="0" borderId="61" xfId="0" applyBorder="1"/>
    <xf numFmtId="0" fontId="10" fillId="0" borderId="4" xfId="0" applyFont="1" applyBorder="1" applyAlignment="1">
      <alignment horizontal="center" vertical="center"/>
    </xf>
    <xf numFmtId="0" fontId="10" fillId="0" borderId="9" xfId="0" applyFont="1" applyBorder="1" applyAlignment="1">
      <alignment horizontal="center" vertical="center"/>
    </xf>
    <xf numFmtId="0" fontId="10" fillId="0" borderId="8" xfId="0" applyFont="1" applyBorder="1" applyAlignment="1">
      <alignment horizontal="center" vertical="center"/>
    </xf>
    <xf numFmtId="0" fontId="0" fillId="0" borderId="60" xfId="0" applyBorder="1"/>
    <xf numFmtId="0" fontId="0" fillId="0" borderId="7" xfId="0" applyBorder="1"/>
    <xf numFmtId="0" fontId="10" fillId="0" borderId="60" xfId="0" applyFont="1" applyBorder="1" applyAlignment="1">
      <alignment horizontal="center" vertical="center" wrapText="1"/>
    </xf>
    <xf numFmtId="0" fontId="10" fillId="0" borderId="0" xfId="0" applyFont="1" applyAlignment="1">
      <alignment horizontal="left" vertical="center"/>
    </xf>
    <xf numFmtId="176" fontId="13" fillId="0" borderId="60" xfId="0" applyNumberFormat="1" applyFont="1" applyBorder="1" applyAlignment="1">
      <alignment horizontal="center" vertical="center"/>
    </xf>
    <xf numFmtId="0" fontId="13" fillId="0" borderId="63" xfId="0" applyFont="1" applyBorder="1" applyAlignment="1">
      <alignment horizontal="center" vertical="center"/>
    </xf>
    <xf numFmtId="0" fontId="13" fillId="0" borderId="64" xfId="0" applyFont="1" applyBorder="1" applyAlignment="1">
      <alignment horizontal="right" vertical="center"/>
    </xf>
    <xf numFmtId="14" fontId="1" fillId="0" borderId="4" xfId="0" applyNumberFormat="1" applyFont="1" applyBorder="1" applyAlignment="1">
      <alignment horizontal="center" vertical="center"/>
    </xf>
    <xf numFmtId="183" fontId="1" fillId="0" borderId="4" xfId="0" applyNumberFormat="1" applyFont="1" applyBorder="1" applyAlignment="1">
      <alignment horizontal="center" vertical="center"/>
    </xf>
    <xf numFmtId="49" fontId="10" fillId="0" borderId="57" xfId="0" applyNumberFormat="1" applyFont="1" applyBorder="1" applyAlignment="1">
      <alignment horizontal="center" vertical="center"/>
    </xf>
    <xf numFmtId="0" fontId="10" fillId="0" borderId="57" xfId="0" applyFont="1" applyBorder="1" applyAlignment="1">
      <alignment horizontal="center" vertical="center"/>
    </xf>
    <xf numFmtId="49" fontId="10" fillId="0" borderId="54" xfId="0" applyNumberFormat="1" applyFont="1" applyBorder="1" applyAlignment="1">
      <alignment horizontal="center" vertical="center"/>
    </xf>
    <xf numFmtId="0" fontId="10" fillId="0" borderId="54" xfId="0" applyFont="1" applyBorder="1" applyAlignment="1">
      <alignment horizontal="center" vertical="center"/>
    </xf>
    <xf numFmtId="49" fontId="10" fillId="0" borderId="54" xfId="0" applyNumberFormat="1" applyFont="1" applyBorder="1" applyAlignment="1">
      <alignment horizontal="center" vertical="center" wrapText="1"/>
    </xf>
    <xf numFmtId="49" fontId="10" fillId="0" borderId="55" xfId="0" applyNumberFormat="1" applyFont="1" applyBorder="1" applyAlignment="1">
      <alignment horizontal="center" vertical="center" wrapText="1"/>
    </xf>
    <xf numFmtId="22" fontId="10" fillId="0" borderId="55" xfId="0" applyNumberFormat="1" applyFont="1" applyBorder="1" applyAlignment="1">
      <alignment horizontal="center" vertical="center"/>
    </xf>
    <xf numFmtId="0" fontId="10" fillId="0" borderId="55" xfId="0" applyFont="1" applyBorder="1" applyAlignment="1">
      <alignment horizontal="center" vertical="center"/>
    </xf>
    <xf numFmtId="184" fontId="10" fillId="0" borderId="55" xfId="0" applyNumberFormat="1" applyFont="1" applyBorder="1" applyAlignment="1">
      <alignment horizontal="right" vertical="center"/>
    </xf>
    <xf numFmtId="40" fontId="10" fillId="0" borderId="2" xfId="0" applyNumberFormat="1" applyFont="1" applyBorder="1" applyAlignment="1">
      <alignment horizontal="right" vertical="center"/>
    </xf>
    <xf numFmtId="40" fontId="10" fillId="0" borderId="55" xfId="0" applyNumberFormat="1" applyFont="1" applyBorder="1" applyAlignment="1">
      <alignment horizontal="right" vertical="center"/>
    </xf>
    <xf numFmtId="5" fontId="10" fillId="0" borderId="55" xfId="0" applyNumberFormat="1" applyFont="1" applyBorder="1" applyAlignment="1">
      <alignment horizontal="right" vertical="center"/>
    </xf>
    <xf numFmtId="0" fontId="10" fillId="0" borderId="50" xfId="0" applyFont="1" applyBorder="1" applyAlignment="1">
      <alignment horizontal="center" vertical="center"/>
    </xf>
    <xf numFmtId="0" fontId="21" fillId="0" borderId="0" xfId="0" applyFont="1" applyAlignment="1">
      <alignment horizontal="right" vertical="center"/>
    </xf>
    <xf numFmtId="58" fontId="2" fillId="0" borderId="0" xfId="0" applyNumberFormat="1" applyFont="1" applyAlignment="1">
      <alignment horizontal="center" vertical="center"/>
    </xf>
    <xf numFmtId="58" fontId="2" fillId="0" borderId="7" xfId="0" applyNumberFormat="1" applyFont="1" applyBorder="1" applyAlignment="1">
      <alignment horizontal="center" vertical="center"/>
    </xf>
    <xf numFmtId="0" fontId="10" fillId="0" borderId="7" xfId="0" applyFont="1" applyBorder="1" applyAlignment="1">
      <alignment vertical="center"/>
    </xf>
    <xf numFmtId="14" fontId="10" fillId="0" borderId="5" xfId="0" applyNumberFormat="1" applyFont="1" applyBorder="1" applyAlignment="1">
      <alignment horizontal="center" vertical="center"/>
    </xf>
    <xf numFmtId="14" fontId="10" fillId="0" borderId="6" xfId="0" applyNumberFormat="1" applyFont="1" applyBorder="1" applyAlignment="1">
      <alignment horizontal="center" vertical="center"/>
    </xf>
    <xf numFmtId="180" fontId="10" fillId="0" borderId="3" xfId="0" applyNumberFormat="1" applyFont="1" applyBorder="1" applyAlignment="1">
      <alignment horizontal="center" vertical="center"/>
    </xf>
    <xf numFmtId="5" fontId="11" fillId="0" borderId="11" xfId="0" applyNumberFormat="1" applyFont="1" applyBorder="1" applyAlignment="1">
      <alignment horizontal="right" vertical="center"/>
    </xf>
    <xf numFmtId="5" fontId="11" fillId="0" borderId="7" xfId="0" applyNumberFormat="1" applyFont="1" applyBorder="1" applyAlignment="1">
      <alignment horizontal="right" vertical="center"/>
    </xf>
    <xf numFmtId="5" fontId="11" fillId="0" borderId="48" xfId="0" applyNumberFormat="1" applyFont="1" applyBorder="1" applyAlignment="1">
      <alignment horizontal="right" vertical="center"/>
    </xf>
    <xf numFmtId="4" fontId="10" fillId="0" borderId="53" xfId="0" applyNumberFormat="1" applyFont="1" applyBorder="1" applyAlignment="1">
      <alignment horizontal="right" vertical="center"/>
    </xf>
    <xf numFmtId="0" fontId="10" fillId="0" borderId="58" xfId="0" applyFont="1" applyBorder="1" applyAlignment="1">
      <alignment horizontal="center" vertical="center"/>
    </xf>
    <xf numFmtId="14" fontId="10" fillId="0" borderId="57" xfId="0" applyNumberFormat="1" applyFont="1" applyBorder="1" applyAlignment="1">
      <alignment horizontal="center" vertical="center"/>
    </xf>
    <xf numFmtId="14" fontId="10" fillId="0" borderId="58" xfId="0" applyNumberFormat="1" applyFont="1" applyBorder="1" applyAlignment="1">
      <alignment horizontal="center" vertical="center"/>
    </xf>
    <xf numFmtId="180" fontId="10" fillId="0" borderId="59" xfId="0" applyNumberFormat="1" applyFont="1" applyBorder="1" applyAlignment="1">
      <alignment horizontal="center" vertical="center"/>
    </xf>
    <xf numFmtId="184" fontId="10" fillId="0" borderId="59" xfId="0" applyNumberFormat="1" applyFont="1" applyBorder="1" applyAlignment="1">
      <alignment horizontal="right" vertical="center"/>
    </xf>
    <xf numFmtId="40" fontId="10" fillId="0" borderId="59" xfId="0" applyNumberFormat="1" applyFont="1" applyBorder="1" applyAlignment="1">
      <alignment horizontal="right" vertical="center"/>
    </xf>
    <xf numFmtId="4" fontId="10" fillId="0" borderId="59" xfId="0" applyNumberFormat="1" applyFont="1" applyBorder="1" applyAlignment="1">
      <alignment horizontal="right" vertical="center"/>
    </xf>
    <xf numFmtId="5" fontId="10" fillId="0" borderId="58" xfId="0" applyNumberFormat="1" applyFont="1" applyBorder="1" applyAlignment="1">
      <alignment horizontal="right" vertical="center"/>
    </xf>
    <xf numFmtId="14" fontId="10" fillId="0" borderId="54" xfId="0" applyNumberFormat="1" applyFont="1" applyBorder="1" applyAlignment="1">
      <alignment horizontal="center" vertical="center"/>
    </xf>
    <xf numFmtId="14" fontId="10" fillId="0" borderId="55" xfId="0" applyNumberFormat="1" applyFont="1" applyBorder="1" applyAlignment="1">
      <alignment horizontal="center" vertical="center"/>
    </xf>
    <xf numFmtId="180" fontId="10" fillId="0" borderId="53" xfId="0" applyNumberFormat="1" applyFont="1" applyBorder="1" applyAlignment="1">
      <alignment horizontal="center" vertical="center"/>
    </xf>
    <xf numFmtId="184" fontId="10" fillId="0" borderId="53" xfId="0" applyNumberFormat="1" applyFont="1" applyBorder="1" applyAlignment="1">
      <alignment horizontal="right" vertical="center"/>
    </xf>
    <xf numFmtId="40" fontId="10" fillId="0" borderId="53" xfId="0" applyNumberFormat="1" applyFont="1" applyBorder="1" applyAlignment="1">
      <alignment horizontal="right" vertical="center"/>
    </xf>
    <xf numFmtId="0" fontId="10" fillId="0" borderId="12" xfId="0" applyFont="1" applyBorder="1" applyAlignment="1">
      <alignment horizontal="center" vertical="center" wrapText="1"/>
    </xf>
    <xf numFmtId="4" fontId="10" fillId="0" borderId="52" xfId="0" applyNumberFormat="1" applyFont="1" applyBorder="1" applyAlignment="1">
      <alignment horizontal="right" vertical="center"/>
    </xf>
    <xf numFmtId="5" fontId="10" fillId="0" borderId="51" xfId="0" applyNumberFormat="1" applyFont="1" applyBorder="1" applyAlignment="1">
      <alignment horizontal="right" vertical="center"/>
    </xf>
    <xf numFmtId="0" fontId="10" fillId="0" borderId="51" xfId="0" applyFont="1" applyBorder="1" applyAlignment="1">
      <alignment horizontal="center" vertical="center"/>
    </xf>
    <xf numFmtId="14" fontId="10" fillId="0" borderId="50" xfId="0" applyNumberFormat="1" applyFont="1" applyBorder="1" applyAlignment="1">
      <alignment horizontal="center" vertical="center"/>
    </xf>
    <xf numFmtId="14" fontId="10" fillId="0" borderId="51" xfId="0" applyNumberFormat="1" applyFont="1" applyBorder="1" applyAlignment="1">
      <alignment horizontal="center" vertical="center"/>
    </xf>
    <xf numFmtId="180" fontId="10" fillId="0" borderId="52" xfId="0" applyNumberFormat="1" applyFont="1" applyBorder="1" applyAlignment="1">
      <alignment horizontal="center" vertical="center"/>
    </xf>
    <xf numFmtId="184" fontId="10" fillId="0" borderId="52" xfId="0" applyNumberFormat="1" applyFont="1" applyBorder="1" applyAlignment="1">
      <alignment horizontal="right" vertical="center"/>
    </xf>
    <xf numFmtId="40" fontId="10" fillId="0" borderId="52" xfId="0" applyNumberFormat="1" applyFont="1" applyBorder="1" applyAlignment="1">
      <alignment horizontal="right" vertical="center"/>
    </xf>
    <xf numFmtId="0" fontId="10" fillId="0" borderId="3"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48"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13" fillId="0" borderId="0" xfId="0" applyFont="1" applyAlignment="1">
      <alignment vertical="center"/>
    </xf>
    <xf numFmtId="0" fontId="10" fillId="0" borderId="3"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48" xfId="0" applyFont="1" applyBorder="1" applyAlignment="1">
      <alignment horizontal="center" vertical="center" wrapText="1"/>
    </xf>
    <xf numFmtId="14" fontId="1" fillId="0" borderId="5" xfId="0" applyNumberFormat="1" applyFont="1" applyBorder="1" applyAlignment="1">
      <alignment horizontal="center" vertical="center"/>
    </xf>
    <xf numFmtId="14" fontId="1" fillId="0" borderId="6" xfId="0" applyNumberFormat="1" applyFont="1" applyBorder="1" applyAlignment="1">
      <alignment horizontal="center" vertical="center"/>
    </xf>
    <xf numFmtId="183" fontId="1" fillId="0" borderId="11" xfId="0" applyNumberFormat="1" applyFont="1" applyBorder="1" applyAlignment="1">
      <alignment horizontal="center" vertical="center"/>
    </xf>
    <xf numFmtId="183" fontId="1" fillId="0" borderId="48" xfId="0" applyNumberFormat="1" applyFont="1" applyBorder="1" applyAlignment="1">
      <alignment horizontal="center" vertical="center"/>
    </xf>
    <xf numFmtId="4" fontId="10" fillId="0" borderId="54" xfId="0" applyNumberFormat="1" applyFont="1" applyBorder="1" applyAlignment="1">
      <alignment horizontal="right" vertical="center"/>
    </xf>
    <xf numFmtId="4" fontId="10" fillId="0" borderId="55" xfId="0" applyNumberFormat="1" applyFont="1" applyBorder="1" applyAlignment="1">
      <alignment horizontal="right" vertical="center"/>
    </xf>
    <xf numFmtId="49" fontId="10" fillId="0" borderId="58" xfId="0" applyNumberFormat="1" applyFont="1" applyBorder="1" applyAlignment="1">
      <alignment horizontal="center" vertical="center"/>
    </xf>
    <xf numFmtId="184" fontId="10" fillId="0" borderId="58" xfId="0" applyNumberFormat="1" applyFont="1" applyBorder="1" applyAlignment="1">
      <alignment horizontal="right" vertical="center"/>
    </xf>
    <xf numFmtId="40" fontId="10" fillId="0" borderId="62" xfId="0" applyNumberFormat="1" applyFont="1" applyBorder="1" applyAlignment="1">
      <alignment horizontal="right" vertical="center"/>
    </xf>
    <xf numFmtId="40" fontId="10" fillId="0" borderId="58" xfId="0" applyNumberFormat="1" applyFont="1" applyBorder="1" applyAlignment="1">
      <alignment horizontal="right" vertical="center"/>
    </xf>
    <xf numFmtId="4" fontId="10" fillId="0" borderId="57" xfId="0" applyNumberFormat="1" applyFont="1" applyBorder="1" applyAlignment="1">
      <alignment horizontal="right" vertical="center"/>
    </xf>
    <xf numFmtId="4" fontId="10" fillId="0" borderId="58" xfId="0" applyNumberFormat="1" applyFont="1" applyBorder="1" applyAlignment="1">
      <alignment horizontal="right" vertical="center"/>
    </xf>
    <xf numFmtId="49" fontId="10" fillId="0" borderId="55" xfId="0" applyNumberFormat="1" applyFont="1" applyBorder="1" applyAlignment="1">
      <alignment horizontal="center" vertical="center"/>
    </xf>
    <xf numFmtId="184" fontId="10" fillId="0" borderId="54" xfId="0" applyNumberFormat="1" applyFont="1" applyBorder="1" applyAlignment="1">
      <alignment horizontal="center" vertical="center"/>
    </xf>
    <xf numFmtId="184" fontId="10" fillId="0" borderId="55" xfId="0" applyNumberFormat="1" applyFont="1" applyBorder="1" applyAlignment="1">
      <alignment horizontal="center" vertical="center"/>
    </xf>
    <xf numFmtId="40" fontId="10" fillId="0" borderId="54" xfId="0" applyNumberFormat="1" applyFont="1" applyBorder="1" applyAlignment="1">
      <alignment horizontal="center" vertical="center"/>
    </xf>
    <xf numFmtId="40" fontId="10" fillId="0" borderId="2" xfId="0" applyNumberFormat="1" applyFont="1" applyBorder="1" applyAlignment="1">
      <alignment horizontal="center" vertical="center"/>
    </xf>
    <xf numFmtId="40" fontId="10" fillId="0" borderId="55" xfId="0" applyNumberFormat="1" applyFont="1" applyBorder="1" applyAlignment="1">
      <alignment horizontal="center" vertical="center"/>
    </xf>
    <xf numFmtId="4" fontId="10" fillId="0" borderId="50" xfId="0" applyNumberFormat="1" applyFont="1" applyBorder="1" applyAlignment="1">
      <alignment horizontal="right" vertical="center"/>
    </xf>
    <xf numFmtId="4" fontId="10" fillId="0" borderId="51" xfId="0" applyNumberFormat="1" applyFont="1" applyBorder="1" applyAlignment="1">
      <alignment horizontal="right" vertical="center"/>
    </xf>
    <xf numFmtId="184" fontId="10" fillId="0" borderId="51" xfId="0" applyNumberFormat="1" applyFont="1" applyBorder="1" applyAlignment="1">
      <alignment horizontal="right" vertical="center"/>
    </xf>
    <xf numFmtId="40" fontId="10" fillId="0" borderId="61" xfId="0" applyNumberFormat="1" applyFont="1" applyBorder="1" applyAlignment="1">
      <alignment horizontal="right" vertical="center"/>
    </xf>
    <xf numFmtId="40" fontId="10" fillId="0" borderId="51" xfId="0" applyNumberFormat="1" applyFont="1" applyBorder="1" applyAlignment="1">
      <alignment horizontal="right" vertical="center"/>
    </xf>
    <xf numFmtId="0" fontId="21" fillId="0" borderId="0" xfId="0" applyFont="1" applyAlignment="1">
      <alignment horizontal="center" vertical="center"/>
    </xf>
    <xf numFmtId="0" fontId="2" fillId="0" borderId="0" xfId="0" applyFont="1" applyAlignment="1">
      <alignment horizontal="center" vertical="center"/>
    </xf>
    <xf numFmtId="0" fontId="10" fillId="0" borderId="0" xfId="0" applyFont="1" applyAlignment="1">
      <alignment vertical="center"/>
    </xf>
    <xf numFmtId="0" fontId="2" fillId="0" borderId="0" xfId="0" applyFont="1" applyAlignment="1">
      <alignment horizontal="left" vertical="center"/>
    </xf>
    <xf numFmtId="14" fontId="10" fillId="0" borderId="11" xfId="0" applyNumberFormat="1" applyFont="1" applyBorder="1" applyAlignment="1">
      <alignment horizontal="center" vertical="center"/>
    </xf>
    <xf numFmtId="14" fontId="10" fillId="0" borderId="7" xfId="0" applyNumberFormat="1" applyFont="1" applyBorder="1" applyAlignment="1">
      <alignment horizontal="center" vertical="center"/>
    </xf>
    <xf numFmtId="14" fontId="10" fillId="0" borderId="48" xfId="0" applyNumberFormat="1" applyFont="1" applyBorder="1" applyAlignment="1">
      <alignment horizontal="center" vertical="center"/>
    </xf>
    <xf numFmtId="0" fontId="10" fillId="0" borderId="59" xfId="0" applyFont="1" applyBorder="1" applyAlignment="1">
      <alignment horizontal="center" vertical="center" wrapText="1"/>
    </xf>
    <xf numFmtId="0" fontId="10" fillId="0" borderId="59" xfId="0" applyFont="1" applyBorder="1" applyAlignment="1">
      <alignment horizontal="center" vertical="center"/>
    </xf>
    <xf numFmtId="14" fontId="10" fillId="0" borderId="59" xfId="0" applyNumberFormat="1" applyFont="1" applyBorder="1" applyAlignment="1">
      <alignment horizontal="center" vertical="center"/>
    </xf>
    <xf numFmtId="0" fontId="10" fillId="0" borderId="53" xfId="0" applyFont="1" applyBorder="1" applyAlignment="1">
      <alignment horizontal="center" vertical="center" wrapText="1"/>
    </xf>
    <xf numFmtId="0" fontId="10" fillId="0" borderId="53" xfId="0" applyFont="1" applyBorder="1" applyAlignment="1">
      <alignment horizontal="center" vertical="center"/>
    </xf>
    <xf numFmtId="14" fontId="10" fillId="0" borderId="53" xfId="0" applyNumberFormat="1" applyFont="1" applyBorder="1" applyAlignment="1">
      <alignment horizontal="center" vertical="center"/>
    </xf>
    <xf numFmtId="0" fontId="10" fillId="0" borderId="52" xfId="0" applyFont="1" applyBorder="1" applyAlignment="1">
      <alignment horizontal="center" vertical="center" wrapText="1"/>
    </xf>
    <xf numFmtId="0" fontId="10" fillId="0" borderId="52" xfId="0" applyFont="1" applyBorder="1" applyAlignment="1">
      <alignment horizontal="center" vertical="center"/>
    </xf>
    <xf numFmtId="14" fontId="10" fillId="0" borderId="52" xfId="0" applyNumberFormat="1" applyFont="1" applyBorder="1" applyAlignment="1">
      <alignment horizontal="center" vertical="center"/>
    </xf>
    <xf numFmtId="179" fontId="2" fillId="0" borderId="0" xfId="0" applyNumberFormat="1" applyFont="1" applyAlignment="1">
      <alignment horizontal="center" vertical="center"/>
    </xf>
    <xf numFmtId="179" fontId="2" fillId="0" borderId="7" xfId="0" applyNumberFormat="1" applyFont="1" applyBorder="1" applyAlignment="1">
      <alignment horizontal="center" vertical="center"/>
    </xf>
    <xf numFmtId="188" fontId="11" fillId="0" borderId="3" xfId="2" applyNumberFormat="1" applyFont="1" applyBorder="1" applyAlignment="1">
      <alignment horizontal="center" vertical="center"/>
    </xf>
    <xf numFmtId="180" fontId="0" fillId="0" borderId="60" xfId="3" applyNumberFormat="1" applyFont="1" applyBorder="1" applyAlignment="1">
      <alignment horizontal="right" vertical="center"/>
    </xf>
    <xf numFmtId="14" fontId="1" fillId="0" borderId="3" xfId="2" applyNumberFormat="1" applyBorder="1" applyAlignment="1">
      <alignment horizontal="left" vertical="center"/>
    </xf>
    <xf numFmtId="0" fontId="1" fillId="0" borderId="3" xfId="2" applyBorder="1" applyAlignment="1">
      <alignment horizontal="center" vertical="center" wrapText="1"/>
    </xf>
    <xf numFmtId="0" fontId="1" fillId="0" borderId="3" xfId="2" applyBorder="1" applyAlignment="1">
      <alignment horizontal="left" vertical="center"/>
    </xf>
    <xf numFmtId="176" fontId="11" fillId="0" borderId="3" xfId="2" applyNumberFormat="1" applyFont="1" applyBorder="1" applyAlignment="1">
      <alignment horizontal="right" vertical="center"/>
    </xf>
    <xf numFmtId="176" fontId="11" fillId="0" borderId="4" xfId="2" applyNumberFormat="1" applyFont="1" applyBorder="1" applyAlignment="1">
      <alignment horizontal="right" vertical="center"/>
    </xf>
    <xf numFmtId="176" fontId="11" fillId="0" borderId="6" xfId="2" applyNumberFormat="1" applyFont="1" applyBorder="1" applyAlignment="1">
      <alignment horizontal="right" vertical="center"/>
    </xf>
    <xf numFmtId="38" fontId="0" fillId="0" borderId="60" xfId="3" applyFont="1" applyBorder="1" applyAlignment="1">
      <alignment horizontal="center" vertical="center"/>
    </xf>
    <xf numFmtId="176" fontId="11" fillId="0" borderId="3" xfId="2" applyNumberFormat="1" applyFont="1" applyBorder="1" applyAlignment="1">
      <alignment horizontal="center" vertical="center"/>
    </xf>
    <xf numFmtId="5" fontId="10" fillId="0" borderId="85" xfId="0" applyNumberFormat="1" applyFont="1" applyBorder="1" applyAlignment="1">
      <alignment horizontal="right" vertical="center"/>
    </xf>
    <xf numFmtId="49" fontId="10" fillId="0" borderId="88" xfId="0" applyNumberFormat="1" applyFont="1" applyBorder="1" applyAlignment="1">
      <alignment horizontal="center" vertical="center" wrapText="1"/>
    </xf>
    <xf numFmtId="49" fontId="10" fillId="0" borderId="89" xfId="0" applyNumberFormat="1" applyFont="1" applyBorder="1" applyAlignment="1">
      <alignment horizontal="center" vertical="center" wrapText="1"/>
    </xf>
    <xf numFmtId="14" fontId="10" fillId="0" borderId="88" xfId="0" applyNumberFormat="1" applyFont="1" applyBorder="1" applyAlignment="1">
      <alignment horizontal="center" vertical="center"/>
    </xf>
    <xf numFmtId="14" fontId="10" fillId="0" borderId="89" xfId="0" applyNumberFormat="1" applyFont="1" applyBorder="1" applyAlignment="1">
      <alignment horizontal="center" vertical="center"/>
    </xf>
    <xf numFmtId="0" fontId="10" fillId="0" borderId="88" xfId="0" applyFont="1" applyBorder="1" applyAlignment="1">
      <alignment horizontal="center" vertical="center"/>
    </xf>
    <xf numFmtId="0" fontId="10" fillId="0" borderId="89" xfId="0" applyFont="1" applyBorder="1" applyAlignment="1">
      <alignment horizontal="center" vertical="center"/>
    </xf>
    <xf numFmtId="184" fontId="10" fillId="0" borderId="88" xfId="0" applyNumberFormat="1" applyFont="1" applyBorder="1" applyAlignment="1">
      <alignment horizontal="right" vertical="center"/>
    </xf>
    <xf numFmtId="184" fontId="10" fillId="0" borderId="89" xfId="0" applyNumberFormat="1" applyFont="1" applyBorder="1" applyAlignment="1">
      <alignment horizontal="right" vertical="center"/>
    </xf>
    <xf numFmtId="40" fontId="10" fillId="0" borderId="88" xfId="0" applyNumberFormat="1" applyFont="1" applyBorder="1" applyAlignment="1">
      <alignment horizontal="right" vertical="center"/>
    </xf>
    <xf numFmtId="40" fontId="10" fillId="0" borderId="91" xfId="0" applyNumberFormat="1" applyFont="1" applyBorder="1" applyAlignment="1">
      <alignment horizontal="right" vertical="center"/>
    </xf>
    <xf numFmtId="40" fontId="10" fillId="0" borderId="89" xfId="0" applyNumberFormat="1" applyFont="1" applyBorder="1" applyAlignment="1">
      <alignment horizontal="right" vertical="center"/>
    </xf>
    <xf numFmtId="4" fontId="10" fillId="0" borderId="88" xfId="0" applyNumberFormat="1" applyFont="1" applyBorder="1" applyAlignment="1">
      <alignment horizontal="right" vertical="center"/>
    </xf>
    <xf numFmtId="4" fontId="10" fillId="0" borderId="89" xfId="0" applyNumberFormat="1" applyFont="1" applyBorder="1" applyAlignment="1">
      <alignment horizontal="right" vertical="center"/>
    </xf>
    <xf numFmtId="5" fontId="10" fillId="0" borderId="88" xfId="0" applyNumberFormat="1" applyFont="1" applyBorder="1" applyAlignment="1">
      <alignment horizontal="right" vertical="center"/>
    </xf>
    <xf numFmtId="5" fontId="10" fillId="0" borderId="91" xfId="0" applyNumberFormat="1" applyFont="1" applyBorder="1" applyAlignment="1">
      <alignment horizontal="right" vertical="center"/>
    </xf>
    <xf numFmtId="5" fontId="10" fillId="0" borderId="92" xfId="0" applyNumberFormat="1" applyFont="1" applyBorder="1" applyAlignment="1">
      <alignment horizontal="right" vertical="center"/>
    </xf>
    <xf numFmtId="4" fontId="10" fillId="0" borderId="79" xfId="0" applyNumberFormat="1" applyFont="1" applyBorder="1" applyAlignment="1">
      <alignment horizontal="right" vertical="center"/>
    </xf>
    <xf numFmtId="4" fontId="10" fillId="0" borderId="80" xfId="0" applyNumberFormat="1" applyFont="1" applyBorder="1" applyAlignment="1">
      <alignment horizontal="right" vertical="center"/>
    </xf>
    <xf numFmtId="5" fontId="10" fillId="0" borderId="79" xfId="0" applyNumberFormat="1" applyFont="1" applyBorder="1" applyAlignment="1">
      <alignment horizontal="right" vertical="center"/>
    </xf>
    <xf numFmtId="5" fontId="10" fillId="0" borderId="82" xfId="0" applyNumberFormat="1" applyFont="1" applyBorder="1" applyAlignment="1">
      <alignment horizontal="right" vertical="center"/>
    </xf>
    <xf numFmtId="5" fontId="10" fillId="0" borderId="83" xfId="0" applyNumberFormat="1" applyFont="1" applyBorder="1" applyAlignment="1">
      <alignment horizontal="right" vertical="center"/>
    </xf>
    <xf numFmtId="0" fontId="10" fillId="0" borderId="79" xfId="0" applyFont="1" applyBorder="1" applyAlignment="1">
      <alignment horizontal="center" vertical="center" wrapText="1"/>
    </xf>
    <xf numFmtId="0" fontId="10" fillId="0" borderId="80" xfId="0" applyFont="1" applyBorder="1" applyAlignment="1">
      <alignment horizontal="center" vertical="center" wrapText="1"/>
    </xf>
    <xf numFmtId="14" fontId="10" fillId="0" borderId="79" xfId="0" applyNumberFormat="1" applyFont="1" applyBorder="1" applyAlignment="1">
      <alignment horizontal="center" vertical="center"/>
    </xf>
    <xf numFmtId="14" fontId="10" fillId="0" borderId="80" xfId="0" applyNumberFormat="1" applyFont="1" applyBorder="1" applyAlignment="1">
      <alignment horizontal="center" vertical="center"/>
    </xf>
    <xf numFmtId="0" fontId="10" fillId="0" borderId="79" xfId="0" applyFont="1" applyBorder="1" applyAlignment="1">
      <alignment horizontal="center" vertical="center"/>
    </xf>
    <xf numFmtId="0" fontId="10" fillId="0" borderId="80" xfId="0" applyFont="1" applyBorder="1" applyAlignment="1">
      <alignment horizontal="center" vertical="center"/>
    </xf>
    <xf numFmtId="184" fontId="10" fillId="0" borderId="79" xfId="0" applyNumberFormat="1" applyFont="1" applyBorder="1" applyAlignment="1">
      <alignment horizontal="right" vertical="center"/>
    </xf>
    <xf numFmtId="184" fontId="10" fillId="0" borderId="80" xfId="0" applyNumberFormat="1" applyFont="1" applyBorder="1" applyAlignment="1">
      <alignment horizontal="right" vertical="center"/>
    </xf>
    <xf numFmtId="40" fontId="10" fillId="0" borderId="79" xfId="0" applyNumberFormat="1" applyFont="1" applyBorder="1" applyAlignment="1">
      <alignment horizontal="right" vertical="center"/>
    </xf>
    <xf numFmtId="40" fontId="10" fillId="0" borderId="82" xfId="0" applyNumberFormat="1" applyFont="1" applyBorder="1" applyAlignment="1">
      <alignment horizontal="right" vertical="center"/>
    </xf>
    <xf numFmtId="40" fontId="10" fillId="0" borderId="80" xfId="0" applyNumberFormat="1" applyFont="1" applyBorder="1" applyAlignment="1">
      <alignment horizontal="right" vertical="center"/>
    </xf>
    <xf numFmtId="0" fontId="21" fillId="0" borderId="7" xfId="0" applyFont="1" applyBorder="1" applyAlignment="1">
      <alignment horizontal="center" vertical="center"/>
    </xf>
    <xf numFmtId="0" fontId="22" fillId="0" borderId="0" xfId="0" applyFont="1" applyAlignment="1">
      <alignment horizontal="center" vertical="center"/>
    </xf>
    <xf numFmtId="0" fontId="2" fillId="0" borderId="5" xfId="0" applyFont="1" applyBorder="1" applyAlignment="1">
      <alignment horizontal="center" vertical="center"/>
    </xf>
    <xf numFmtId="0" fontId="10" fillId="0" borderId="65" xfId="0" applyFont="1" applyBorder="1" applyAlignment="1">
      <alignment horizontal="center" vertical="center"/>
    </xf>
    <xf numFmtId="0" fontId="10" fillId="0" borderId="74" xfId="0" applyFont="1" applyBorder="1" applyAlignment="1">
      <alignment horizontal="center" vertical="center"/>
    </xf>
    <xf numFmtId="0" fontId="10" fillId="0" borderId="66" xfId="0" applyFont="1" applyBorder="1" applyAlignment="1">
      <alignment horizontal="center" vertical="center" wrapText="1"/>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0" fontId="10" fillId="0" borderId="75" xfId="0" applyFont="1" applyBorder="1" applyAlignment="1">
      <alignment horizontal="center" vertical="center" wrapText="1"/>
    </xf>
    <xf numFmtId="0" fontId="10" fillId="0" borderId="68" xfId="0" applyFont="1" applyBorder="1" applyAlignment="1">
      <alignment horizontal="center" vertical="center"/>
    </xf>
    <xf numFmtId="0" fontId="10" fillId="0" borderId="69" xfId="0" applyFont="1" applyBorder="1" applyAlignment="1">
      <alignment horizontal="center" vertical="center"/>
    </xf>
    <xf numFmtId="0" fontId="10" fillId="0" borderId="39" xfId="0" applyFont="1" applyBorder="1" applyAlignment="1">
      <alignment horizontal="center" vertical="center"/>
    </xf>
    <xf numFmtId="0" fontId="10" fillId="0" borderId="70" xfId="0" applyFont="1" applyBorder="1" applyAlignment="1">
      <alignment horizontal="center" vertical="center"/>
    </xf>
    <xf numFmtId="0" fontId="10" fillId="0" borderId="66" xfId="0" applyFont="1" applyBorder="1" applyAlignment="1">
      <alignment horizontal="center" vertical="center"/>
    </xf>
    <xf numFmtId="0" fontId="10" fillId="0" borderId="67" xfId="0" applyFont="1" applyBorder="1" applyAlignment="1">
      <alignment horizontal="center" vertical="center"/>
    </xf>
    <xf numFmtId="0" fontId="10" fillId="0" borderId="47" xfId="0" applyFont="1" applyBorder="1" applyAlignment="1">
      <alignment horizontal="center" vertical="center"/>
    </xf>
    <xf numFmtId="0" fontId="10" fillId="0" borderId="75" xfId="0" applyFont="1" applyBorder="1" applyAlignment="1">
      <alignment horizontal="center" vertical="center"/>
    </xf>
    <xf numFmtId="0" fontId="10" fillId="0" borderId="72" xfId="0" applyFont="1" applyBorder="1" applyAlignment="1">
      <alignment horizontal="center" vertical="center" wrapText="1"/>
    </xf>
    <xf numFmtId="0" fontId="10" fillId="0" borderId="76" xfId="0" applyFont="1" applyBorder="1" applyAlignment="1">
      <alignment horizontal="center" vertical="center" wrapText="1"/>
    </xf>
    <xf numFmtId="0" fontId="10" fillId="0" borderId="39" xfId="0" applyFont="1" applyBorder="1" applyAlignment="1">
      <alignment horizontal="center" vertical="center" wrapText="1"/>
    </xf>
    <xf numFmtId="0" fontId="10" fillId="0" borderId="71" xfId="0" applyFont="1" applyBorder="1" applyAlignment="1">
      <alignment horizontal="center" vertical="center" wrapText="1"/>
    </xf>
    <xf numFmtId="0" fontId="10" fillId="0" borderId="73" xfId="0" applyFont="1" applyBorder="1" applyAlignment="1">
      <alignment horizontal="center" vertical="center" wrapText="1"/>
    </xf>
    <xf numFmtId="0" fontId="10" fillId="0" borderId="0" xfId="0" applyFont="1" applyAlignment="1">
      <alignment horizontal="center" vertical="center" wrapText="1"/>
    </xf>
    <xf numFmtId="0" fontId="10" fillId="0" borderId="77" xfId="0" applyFont="1" applyBorder="1" applyAlignment="1">
      <alignment horizontal="center" vertical="center" wrapText="1"/>
    </xf>
    <xf numFmtId="14" fontId="13" fillId="0" borderId="54" xfId="0" applyNumberFormat="1" applyFont="1" applyBorder="1" applyAlignment="1">
      <alignment horizontal="center" vertical="center" wrapText="1"/>
    </xf>
    <xf numFmtId="14" fontId="13" fillId="0" borderId="55" xfId="0" applyNumberFormat="1" applyFont="1" applyBorder="1" applyAlignment="1">
      <alignment horizontal="center" vertical="center" wrapText="1"/>
    </xf>
    <xf numFmtId="14" fontId="13" fillId="0" borderId="50" xfId="0" applyNumberFormat="1" applyFont="1" applyBorder="1" applyAlignment="1">
      <alignment horizontal="center" vertical="center" wrapText="1"/>
    </xf>
    <xf numFmtId="14" fontId="13" fillId="0" borderId="51" xfId="0" applyNumberFormat="1" applyFont="1" applyBorder="1" applyAlignment="1">
      <alignment horizontal="center" vertical="center" wrapText="1"/>
    </xf>
    <xf numFmtId="3" fontId="13" fillId="0" borderId="5" xfId="0" applyNumberFormat="1" applyFont="1" applyBorder="1" applyAlignment="1">
      <alignment horizontal="right" vertical="center"/>
    </xf>
    <xf numFmtId="0" fontId="13" fillId="0" borderId="60" xfId="0" applyFont="1" applyBorder="1" applyAlignment="1">
      <alignment horizontal="center" vertical="center"/>
    </xf>
    <xf numFmtId="189" fontId="21" fillId="0" borderId="8" xfId="0" applyNumberFormat="1" applyFont="1" applyBorder="1" applyAlignment="1">
      <alignment horizontal="right" vertical="center"/>
    </xf>
    <xf numFmtId="189" fontId="21" fillId="0" borderId="60" xfId="0" applyNumberFormat="1" applyFont="1" applyBorder="1" applyAlignment="1">
      <alignment horizontal="right" vertical="center"/>
    </xf>
    <xf numFmtId="189" fontId="21" fillId="0" borderId="11" xfId="0" applyNumberFormat="1" applyFont="1" applyBorder="1" applyAlignment="1">
      <alignment horizontal="right" vertical="center"/>
    </xf>
    <xf numFmtId="189" fontId="21" fillId="0" borderId="7" xfId="0" applyNumberFormat="1" applyFont="1" applyBorder="1" applyAlignment="1">
      <alignment horizontal="right" vertical="center"/>
    </xf>
    <xf numFmtId="190" fontId="11" fillId="0" borderId="10" xfId="0" applyNumberFormat="1" applyFont="1" applyBorder="1" applyAlignment="1">
      <alignment horizontal="left" vertical="center"/>
    </xf>
    <xf numFmtId="190" fontId="11" fillId="0" borderId="48" xfId="0" applyNumberFormat="1" applyFont="1" applyBorder="1" applyAlignment="1">
      <alignment horizontal="left" vertical="center"/>
    </xf>
    <xf numFmtId="58" fontId="7" fillId="0" borderId="8" xfId="0" applyNumberFormat="1" applyFont="1" applyBorder="1" applyAlignment="1">
      <alignment horizontal="center" vertical="center"/>
    </xf>
    <xf numFmtId="58" fontId="7" fillId="0" borderId="60" xfId="0" applyNumberFormat="1" applyFont="1" applyBorder="1" applyAlignment="1">
      <alignment horizontal="center" vertical="center"/>
    </xf>
    <xf numFmtId="58" fontId="7" fillId="0" borderId="11" xfId="0" applyNumberFormat="1" applyFont="1" applyBorder="1" applyAlignment="1">
      <alignment horizontal="center" vertical="center"/>
    </xf>
    <xf numFmtId="58" fontId="7" fillId="0" borderId="7" xfId="0" applyNumberFormat="1" applyFont="1" applyBorder="1" applyAlignment="1">
      <alignment horizontal="center" vertical="center"/>
    </xf>
    <xf numFmtId="58" fontId="2" fillId="0" borderId="10" xfId="0" applyNumberFormat="1" applyFont="1" applyBorder="1" applyAlignment="1">
      <alignment horizontal="left" vertical="center"/>
    </xf>
    <xf numFmtId="58" fontId="2" fillId="0" borderId="48" xfId="0" applyNumberFormat="1" applyFont="1" applyBorder="1" applyAlignment="1">
      <alignment horizontal="left" vertical="center"/>
    </xf>
    <xf numFmtId="187" fontId="13" fillId="0" borderId="11" xfId="0" applyNumberFormat="1" applyFont="1" applyBorder="1" applyAlignment="1">
      <alignment horizontal="right" vertical="center"/>
    </xf>
    <xf numFmtId="187" fontId="13" fillId="0" borderId="48" xfId="0" applyNumberFormat="1" applyFont="1" applyBorder="1" applyAlignment="1">
      <alignment horizontal="right" vertical="center"/>
    </xf>
    <xf numFmtId="187" fontId="13" fillId="0" borderId="54" xfId="0" applyNumberFormat="1" applyFont="1" applyBorder="1" applyAlignment="1">
      <alignment horizontal="right" vertical="center"/>
    </xf>
    <xf numFmtId="187" fontId="13" fillId="0" borderId="55" xfId="0" applyNumberFormat="1" applyFont="1" applyBorder="1" applyAlignment="1">
      <alignment horizontal="right" vertical="center"/>
    </xf>
    <xf numFmtId="187" fontId="13" fillId="0" borderId="57" xfId="0" applyNumberFormat="1" applyFont="1" applyBorder="1" applyAlignment="1">
      <alignment horizontal="right" vertical="center"/>
    </xf>
    <xf numFmtId="187" fontId="13" fillId="0" borderId="58" xfId="0" applyNumberFormat="1" applyFont="1" applyBorder="1" applyAlignment="1">
      <alignment horizontal="right" vertical="center"/>
    </xf>
    <xf numFmtId="187" fontId="13" fillId="0" borderId="50" xfId="0" applyNumberFormat="1" applyFont="1" applyBorder="1" applyAlignment="1">
      <alignment horizontal="right" vertical="center"/>
    </xf>
    <xf numFmtId="187" fontId="13" fillId="0" borderId="51" xfId="0" applyNumberFormat="1" applyFont="1" applyBorder="1" applyAlignment="1">
      <alignment horizontal="right" vertical="center"/>
    </xf>
    <xf numFmtId="187" fontId="13" fillId="0" borderId="8" xfId="0" applyNumberFormat="1" applyFont="1" applyBorder="1" applyAlignment="1">
      <alignment horizontal="right" vertical="center"/>
    </xf>
    <xf numFmtId="187" fontId="13" fillId="0" borderId="10" xfId="0" applyNumberFormat="1" applyFont="1" applyBorder="1" applyAlignment="1">
      <alignment horizontal="right" vertical="center"/>
    </xf>
    <xf numFmtId="0" fontId="13" fillId="0" borderId="7" xfId="0" applyFont="1" applyBorder="1" applyAlignment="1">
      <alignment horizontal="left" vertical="center"/>
    </xf>
    <xf numFmtId="189" fontId="21" fillId="0" borderId="0" xfId="0" applyNumberFormat="1" applyFont="1" applyAlignment="1">
      <alignment horizontal="right" vertical="center"/>
    </xf>
    <xf numFmtId="190" fontId="11" fillId="0" borderId="0" xfId="0" applyNumberFormat="1" applyFont="1" applyAlignment="1">
      <alignment horizontal="left" vertical="center"/>
    </xf>
    <xf numFmtId="58" fontId="7" fillId="0" borderId="0" xfId="0" applyNumberFormat="1" applyFont="1" applyAlignment="1">
      <alignment horizontal="center" vertical="center"/>
    </xf>
    <xf numFmtId="58" fontId="2" fillId="0" borderId="0" xfId="0" applyNumberFormat="1" applyFont="1" applyAlignment="1">
      <alignment horizontal="left" vertical="center"/>
    </xf>
    <xf numFmtId="0" fontId="11" fillId="0" borderId="71" xfId="0" applyFont="1" applyBorder="1" applyAlignment="1">
      <alignment horizontal="center" vertical="center"/>
    </xf>
    <xf numFmtId="0" fontId="18" fillId="0" borderId="0" xfId="0" applyFont="1" applyAlignment="1">
      <alignment horizontal="left" vertical="center"/>
    </xf>
    <xf numFmtId="179" fontId="0" fillId="0" borderId="7" xfId="0" applyNumberFormat="1" applyBorder="1" applyAlignment="1">
      <alignment horizontal="center" vertical="center"/>
    </xf>
    <xf numFmtId="0" fontId="5" fillId="9" borderId="0" xfId="0" applyFont="1" applyFill="1" applyAlignment="1">
      <alignment horizontal="center" vertical="center"/>
    </xf>
    <xf numFmtId="0" fontId="16" fillId="0" borderId="0" xfId="0" applyFont="1" applyAlignment="1">
      <alignment horizontal="center" vertical="center"/>
    </xf>
    <xf numFmtId="0" fontId="0" fillId="0" borderId="0" xfId="0" applyAlignment="1">
      <alignment horizontal="distributed" vertical="center"/>
    </xf>
    <xf numFmtId="0" fontId="1" fillId="0" borderId="0" xfId="0" applyFont="1" applyAlignment="1">
      <alignment horizontal="distributed" vertical="center"/>
    </xf>
    <xf numFmtId="179" fontId="1" fillId="0" borderId="0" xfId="0" applyNumberFormat="1" applyFont="1" applyAlignment="1">
      <alignment horizontal="left" vertical="center"/>
    </xf>
    <xf numFmtId="0" fontId="11" fillId="0" borderId="0" xfId="0" applyFont="1" applyAlignment="1">
      <alignment horizontal="center" vertical="center"/>
    </xf>
    <xf numFmtId="0" fontId="0" fillId="0" borderId="0" xfId="0" applyAlignment="1">
      <alignment horizontal="left" vertical="center" shrinkToFit="1"/>
    </xf>
    <xf numFmtId="0" fontId="10" fillId="0" borderId="0" xfId="0" applyFont="1" applyAlignment="1">
      <alignment horizontal="right" vertical="center"/>
    </xf>
    <xf numFmtId="0" fontId="6" fillId="0" borderId="0" xfId="0" applyFont="1" applyAlignment="1">
      <alignment horizontal="center" vertical="center"/>
    </xf>
    <xf numFmtId="0" fontId="11" fillId="0" borderId="7" xfId="0" applyFont="1" applyBorder="1" applyAlignment="1">
      <alignment horizontal="center" vertical="center"/>
    </xf>
    <xf numFmtId="0" fontId="1" fillId="0" borderId="0" xfId="0" applyFont="1" applyAlignment="1">
      <alignment horizontal="center" vertical="center"/>
    </xf>
    <xf numFmtId="0" fontId="5" fillId="0" borderId="0" xfId="0" applyFont="1" applyAlignment="1">
      <alignment horizontal="center" vertical="center"/>
    </xf>
    <xf numFmtId="0" fontId="0" fillId="0" borderId="7" xfId="0" applyBorder="1" applyAlignment="1">
      <alignment horizontal="center" vertical="center"/>
    </xf>
    <xf numFmtId="0" fontId="6" fillId="4" borderId="0" xfId="0" applyFont="1" applyFill="1" applyAlignment="1">
      <alignment horizontal="center" vertical="center"/>
    </xf>
    <xf numFmtId="0" fontId="6" fillId="4" borderId="0" xfId="0" applyFont="1" applyFill="1" applyAlignment="1">
      <alignment horizontal="right" vertical="center"/>
    </xf>
  </cellXfs>
  <cellStyles count="4">
    <cellStyle name="桁区切り" xfId="1" builtinId="6"/>
    <cellStyle name="桁区切り 2" xfId="3" xr:uid="{C28DBFC7-A0C6-4B47-B679-1C24D9C66B85}"/>
    <cellStyle name="標準" xfId="0" builtinId="0"/>
    <cellStyle name="標準 2" xfId="2" xr:uid="{7AA7A742-AB81-46AB-BA21-A51D08D245E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0</xdr:colOff>
      <xdr:row>2</xdr:row>
      <xdr:rowOff>0</xdr:rowOff>
    </xdr:from>
    <xdr:to>
      <xdr:col>9</xdr:col>
      <xdr:colOff>695325</xdr:colOff>
      <xdr:row>3</xdr:row>
      <xdr:rowOff>0</xdr:rowOff>
    </xdr:to>
    <xdr:sp macro="" textlink="">
      <xdr:nvSpPr>
        <xdr:cNvPr id="2" name="Text Box 2">
          <a:extLst>
            <a:ext uri="{FF2B5EF4-FFF2-40B4-BE49-F238E27FC236}">
              <a16:creationId xmlns:a16="http://schemas.microsoft.com/office/drawing/2014/main" id="{FD2B4F98-29DD-4E26-B794-B4446B4451BE}"/>
            </a:ext>
          </a:extLst>
        </xdr:cNvPr>
        <xdr:cNvSpPr txBox="1">
          <a:spLocks noChangeArrowheads="1"/>
        </xdr:cNvSpPr>
      </xdr:nvSpPr>
      <xdr:spPr bwMode="auto">
        <a:xfrm>
          <a:off x="6000750" y="409575"/>
          <a:ext cx="1076325"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18288" anchor="ctr" upright="1"/>
        <a:lstStyle/>
        <a:p>
          <a:pPr algn="l" rtl="0">
            <a:defRPr sz="1000"/>
          </a:pPr>
          <a:r>
            <a:rPr lang="ja-JP" altLang="en-US" sz="900" b="1" i="0" u="none" strike="noStrike" baseline="0">
              <a:solidFill>
                <a:srgbClr val="000000"/>
              </a:solidFill>
              <a:latin typeface="ＭＳ Ｐゴシック"/>
              <a:ea typeface="ＭＳ Ｐゴシック"/>
            </a:rPr>
            <a:t>取引証拠金必要額</a:t>
          </a:r>
        </a:p>
      </xdr:txBody>
    </xdr:sp>
    <xdr:clientData/>
  </xdr:twoCellAnchor>
  <xdr:twoCellAnchor>
    <xdr:from>
      <xdr:col>9</xdr:col>
      <xdr:colOff>695325</xdr:colOff>
      <xdr:row>2</xdr:row>
      <xdr:rowOff>0</xdr:rowOff>
    </xdr:from>
    <xdr:to>
      <xdr:col>11</xdr:col>
      <xdr:colOff>419100</xdr:colOff>
      <xdr:row>3</xdr:row>
      <xdr:rowOff>0</xdr:rowOff>
    </xdr:to>
    <xdr:sp macro="" textlink="">
      <xdr:nvSpPr>
        <xdr:cNvPr id="3" name="Torihiki">
          <a:extLst>
            <a:ext uri="{FF2B5EF4-FFF2-40B4-BE49-F238E27FC236}">
              <a16:creationId xmlns:a16="http://schemas.microsoft.com/office/drawing/2014/main" id="{921690CB-DB1A-4DE8-951C-49A31B5037DE}"/>
            </a:ext>
          </a:extLst>
        </xdr:cNvPr>
        <xdr:cNvSpPr txBox="1">
          <a:spLocks noChangeArrowheads="1"/>
        </xdr:cNvSpPr>
      </xdr:nvSpPr>
      <xdr:spPr bwMode="auto">
        <a:xfrm>
          <a:off x="7077075" y="409575"/>
          <a:ext cx="1171575"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r" rtl="0">
            <a:defRPr sz="1000"/>
          </a:pPr>
          <a:endParaRPr lang="ja-JP" altLang="en-US"/>
        </a:p>
      </xdr:txBody>
    </xdr:sp>
    <xdr:clientData/>
  </xdr:twoCellAnchor>
  <xdr:twoCellAnchor>
    <xdr:from>
      <xdr:col>5</xdr:col>
      <xdr:colOff>0</xdr:colOff>
      <xdr:row>4</xdr:row>
      <xdr:rowOff>0</xdr:rowOff>
    </xdr:from>
    <xdr:to>
      <xdr:col>6</xdr:col>
      <xdr:colOff>95250</xdr:colOff>
      <xdr:row>5</xdr:row>
      <xdr:rowOff>0</xdr:rowOff>
    </xdr:to>
    <xdr:sp macro="" textlink="">
      <xdr:nvSpPr>
        <xdr:cNvPr id="4" name="Text Box 4">
          <a:extLst>
            <a:ext uri="{FF2B5EF4-FFF2-40B4-BE49-F238E27FC236}">
              <a16:creationId xmlns:a16="http://schemas.microsoft.com/office/drawing/2014/main" id="{E486F124-DE07-41AE-AB77-7864E6B58604}"/>
            </a:ext>
          </a:extLst>
        </xdr:cNvPr>
        <xdr:cNvSpPr txBox="1">
          <a:spLocks noChangeArrowheads="1"/>
        </xdr:cNvSpPr>
      </xdr:nvSpPr>
      <xdr:spPr bwMode="auto">
        <a:xfrm>
          <a:off x="3486150" y="752475"/>
          <a:ext cx="952500"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18288" anchor="ctr" upright="1"/>
        <a:lstStyle/>
        <a:p>
          <a:pPr algn="l" rtl="0">
            <a:defRPr sz="1000"/>
          </a:pPr>
          <a:r>
            <a:rPr lang="ja-JP" altLang="en-US" sz="900" b="1" i="0" u="none" strike="noStrike" baseline="0">
              <a:solidFill>
                <a:srgbClr val="000000"/>
              </a:solidFill>
              <a:latin typeface="ＭＳ Ｐゴシック"/>
              <a:ea typeface="ＭＳ Ｐゴシック"/>
            </a:rPr>
            <a:t>スワップ累計</a:t>
          </a:r>
        </a:p>
      </xdr:txBody>
    </xdr:sp>
    <xdr:clientData/>
  </xdr:twoCellAnchor>
  <xdr:twoCellAnchor>
    <xdr:from>
      <xdr:col>6</xdr:col>
      <xdr:colOff>95250</xdr:colOff>
      <xdr:row>4</xdr:row>
      <xdr:rowOff>0</xdr:rowOff>
    </xdr:from>
    <xdr:to>
      <xdr:col>7</xdr:col>
      <xdr:colOff>219075</xdr:colOff>
      <xdr:row>5</xdr:row>
      <xdr:rowOff>0</xdr:rowOff>
    </xdr:to>
    <xdr:sp macro="" textlink="">
      <xdr:nvSpPr>
        <xdr:cNvPr id="5" name="Swap">
          <a:extLst>
            <a:ext uri="{FF2B5EF4-FFF2-40B4-BE49-F238E27FC236}">
              <a16:creationId xmlns:a16="http://schemas.microsoft.com/office/drawing/2014/main" id="{8E34A5D5-E034-47BE-9D25-F8B2C199A9CA}"/>
            </a:ext>
          </a:extLst>
        </xdr:cNvPr>
        <xdr:cNvSpPr txBox="1">
          <a:spLocks noChangeArrowheads="1"/>
        </xdr:cNvSpPr>
      </xdr:nvSpPr>
      <xdr:spPr bwMode="auto">
        <a:xfrm>
          <a:off x="4438650" y="752475"/>
          <a:ext cx="1171575"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r" rtl="0">
            <a:defRPr sz="1000"/>
          </a:pPr>
          <a:endParaRPr lang="ja-JP" altLang="en-US"/>
        </a:p>
      </xdr:txBody>
    </xdr:sp>
    <xdr:clientData/>
  </xdr:twoCellAnchor>
  <xdr:twoCellAnchor>
    <xdr:from>
      <xdr:col>5</xdr:col>
      <xdr:colOff>0</xdr:colOff>
      <xdr:row>2</xdr:row>
      <xdr:rowOff>0</xdr:rowOff>
    </xdr:from>
    <xdr:to>
      <xdr:col>6</xdr:col>
      <xdr:colOff>95250</xdr:colOff>
      <xdr:row>3</xdr:row>
      <xdr:rowOff>0</xdr:rowOff>
    </xdr:to>
    <xdr:sp macro="" textlink="">
      <xdr:nvSpPr>
        <xdr:cNvPr id="6" name="Text Box 8">
          <a:extLst>
            <a:ext uri="{FF2B5EF4-FFF2-40B4-BE49-F238E27FC236}">
              <a16:creationId xmlns:a16="http://schemas.microsoft.com/office/drawing/2014/main" id="{3D4AFB4B-D067-4FF9-A594-E27FFD54BF3E}"/>
            </a:ext>
          </a:extLst>
        </xdr:cNvPr>
        <xdr:cNvSpPr txBox="1">
          <a:spLocks noChangeArrowheads="1"/>
        </xdr:cNvSpPr>
      </xdr:nvSpPr>
      <xdr:spPr bwMode="auto">
        <a:xfrm>
          <a:off x="3486150" y="409575"/>
          <a:ext cx="952500"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18288" anchor="ctr" upright="1"/>
        <a:lstStyle/>
        <a:p>
          <a:pPr algn="l" rtl="0">
            <a:defRPr sz="1000"/>
          </a:pPr>
          <a:r>
            <a:rPr lang="ja-JP" altLang="en-US" sz="900" b="1" i="0" u="none" strike="noStrike" baseline="0">
              <a:solidFill>
                <a:srgbClr val="000000"/>
              </a:solidFill>
              <a:latin typeface="ＭＳ Ｐゴシック"/>
              <a:ea typeface="ＭＳ Ｐゴシック"/>
            </a:rPr>
            <a:t>預り証拠金</a:t>
          </a:r>
        </a:p>
      </xdr:txBody>
    </xdr:sp>
    <xdr:clientData/>
  </xdr:twoCellAnchor>
  <xdr:twoCellAnchor>
    <xdr:from>
      <xdr:col>6</xdr:col>
      <xdr:colOff>95250</xdr:colOff>
      <xdr:row>2</xdr:row>
      <xdr:rowOff>0</xdr:rowOff>
    </xdr:from>
    <xdr:to>
      <xdr:col>7</xdr:col>
      <xdr:colOff>219075</xdr:colOff>
      <xdr:row>3</xdr:row>
      <xdr:rowOff>0</xdr:rowOff>
    </xdr:to>
    <xdr:sp macro="" textlink="">
      <xdr:nvSpPr>
        <xdr:cNvPr id="7" name="Azukari">
          <a:extLst>
            <a:ext uri="{FF2B5EF4-FFF2-40B4-BE49-F238E27FC236}">
              <a16:creationId xmlns:a16="http://schemas.microsoft.com/office/drawing/2014/main" id="{3DE337A3-23D5-4521-906D-01D2EDC14AD5}"/>
            </a:ext>
          </a:extLst>
        </xdr:cNvPr>
        <xdr:cNvSpPr txBox="1">
          <a:spLocks noChangeArrowheads="1"/>
        </xdr:cNvSpPr>
      </xdr:nvSpPr>
      <xdr:spPr bwMode="auto">
        <a:xfrm>
          <a:off x="4438650" y="409575"/>
          <a:ext cx="1171575"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r" rtl="0">
            <a:defRPr sz="1000"/>
          </a:pPr>
          <a:endParaRPr lang="ja-JP" altLang="en-US"/>
        </a:p>
      </xdr:txBody>
    </xdr:sp>
    <xdr:clientData/>
  </xdr:twoCellAnchor>
  <xdr:twoCellAnchor>
    <xdr:from>
      <xdr:col>5</xdr:col>
      <xdr:colOff>0</xdr:colOff>
      <xdr:row>3</xdr:row>
      <xdr:rowOff>0</xdr:rowOff>
    </xdr:from>
    <xdr:to>
      <xdr:col>6</xdr:col>
      <xdr:colOff>95250</xdr:colOff>
      <xdr:row>4</xdr:row>
      <xdr:rowOff>0</xdr:rowOff>
    </xdr:to>
    <xdr:sp macro="" textlink="">
      <xdr:nvSpPr>
        <xdr:cNvPr id="8" name="Text Box 12">
          <a:extLst>
            <a:ext uri="{FF2B5EF4-FFF2-40B4-BE49-F238E27FC236}">
              <a16:creationId xmlns:a16="http://schemas.microsoft.com/office/drawing/2014/main" id="{B63DB599-8D38-4A06-9911-C85225DBEDA3}"/>
            </a:ext>
          </a:extLst>
        </xdr:cNvPr>
        <xdr:cNvSpPr txBox="1">
          <a:spLocks noChangeArrowheads="1"/>
        </xdr:cNvSpPr>
      </xdr:nvSpPr>
      <xdr:spPr bwMode="auto">
        <a:xfrm>
          <a:off x="3486150" y="581025"/>
          <a:ext cx="952500"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18288" anchor="ctr" upright="1"/>
        <a:lstStyle/>
        <a:p>
          <a:pPr algn="l" rtl="0">
            <a:defRPr sz="1000"/>
          </a:pPr>
          <a:r>
            <a:rPr lang="ja-JP" altLang="en-US" sz="900" b="1" i="0" u="none" strike="noStrike" baseline="0">
              <a:solidFill>
                <a:srgbClr val="000000"/>
              </a:solidFill>
              <a:latin typeface="ＭＳ Ｐゴシック"/>
              <a:ea typeface="ＭＳ Ｐゴシック"/>
            </a:rPr>
            <a:t>差引損益金合計</a:t>
          </a:r>
        </a:p>
      </xdr:txBody>
    </xdr:sp>
    <xdr:clientData/>
  </xdr:twoCellAnchor>
  <xdr:twoCellAnchor>
    <xdr:from>
      <xdr:col>6</xdr:col>
      <xdr:colOff>95250</xdr:colOff>
      <xdr:row>3</xdr:row>
      <xdr:rowOff>0</xdr:rowOff>
    </xdr:from>
    <xdr:to>
      <xdr:col>7</xdr:col>
      <xdr:colOff>219075</xdr:colOff>
      <xdr:row>4</xdr:row>
      <xdr:rowOff>0</xdr:rowOff>
    </xdr:to>
    <xdr:sp macro="" textlink="">
      <xdr:nvSpPr>
        <xdr:cNvPr id="9" name="Sashihiki">
          <a:extLst>
            <a:ext uri="{FF2B5EF4-FFF2-40B4-BE49-F238E27FC236}">
              <a16:creationId xmlns:a16="http://schemas.microsoft.com/office/drawing/2014/main" id="{20F0C5A3-5AB6-43C4-B603-1E64B39B648A}"/>
            </a:ext>
          </a:extLst>
        </xdr:cNvPr>
        <xdr:cNvSpPr txBox="1">
          <a:spLocks noChangeArrowheads="1"/>
        </xdr:cNvSpPr>
      </xdr:nvSpPr>
      <xdr:spPr bwMode="auto">
        <a:xfrm>
          <a:off x="4438650" y="581025"/>
          <a:ext cx="1171575" cy="171450"/>
        </a:xfrm>
        <a:prstGeom prst="rect">
          <a:avLst/>
        </a:prstGeom>
        <a:solidFill>
          <a:srgbClr xmlns:mc="http://schemas.openxmlformats.org/markup-compatibility/2006" xmlns:a14="http://schemas.microsoft.com/office/drawing/2010/main" val="FFFFFF" mc:Ignorable="a14" a14:legacySpreadsheetColorIndex="65"/>
        </a:solidFill>
        <a:ln w="317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ctr" upright="1"/>
        <a:lstStyle/>
        <a:p>
          <a:pPr algn="r" rtl="0">
            <a:defRPr sz="1000"/>
          </a:pPr>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323850</xdr:colOff>
      <xdr:row>42</xdr:row>
      <xdr:rowOff>161925</xdr:rowOff>
    </xdr:from>
    <xdr:to>
      <xdr:col>15</xdr:col>
      <xdr:colOff>190500</xdr:colOff>
      <xdr:row>47</xdr:row>
      <xdr:rowOff>57150</xdr:rowOff>
    </xdr:to>
    <xdr:pic>
      <xdr:nvPicPr>
        <xdr:cNvPr id="2" name="図 28" descr="トラスト角印.jpg">
          <a:extLst>
            <a:ext uri="{FF2B5EF4-FFF2-40B4-BE49-F238E27FC236}">
              <a16:creationId xmlns:a16="http://schemas.microsoft.com/office/drawing/2014/main" id="{3F062803-69E7-4793-ABC4-9F5A218424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05875" y="8058150"/>
          <a:ext cx="8286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304800</xdr:colOff>
      <xdr:row>2</xdr:row>
      <xdr:rowOff>133350</xdr:rowOff>
    </xdr:from>
    <xdr:to>
      <xdr:col>15</xdr:col>
      <xdr:colOff>171450</xdr:colOff>
      <xdr:row>7</xdr:row>
      <xdr:rowOff>28575</xdr:rowOff>
    </xdr:to>
    <xdr:pic>
      <xdr:nvPicPr>
        <xdr:cNvPr id="3" name="図 27" descr="トラスト角印.jpg">
          <a:extLst>
            <a:ext uri="{FF2B5EF4-FFF2-40B4-BE49-F238E27FC236}">
              <a16:creationId xmlns:a16="http://schemas.microsoft.com/office/drawing/2014/main" id="{47D2738E-4945-4CF5-A979-4F731E90286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476250"/>
          <a:ext cx="8286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9525</xdr:colOff>
      <xdr:row>41</xdr:row>
      <xdr:rowOff>19050</xdr:rowOff>
    </xdr:from>
    <xdr:to>
      <xdr:col>16</xdr:col>
      <xdr:colOff>323850</xdr:colOff>
      <xdr:row>46</xdr:row>
      <xdr:rowOff>209550</xdr:rowOff>
    </xdr:to>
    <xdr:sp macro="" textlink="">
      <xdr:nvSpPr>
        <xdr:cNvPr id="4" name="Text Box 9">
          <a:extLst>
            <a:ext uri="{FF2B5EF4-FFF2-40B4-BE49-F238E27FC236}">
              <a16:creationId xmlns:a16="http://schemas.microsoft.com/office/drawing/2014/main" id="{C248F03E-E64B-428E-8FEB-A48142878068}"/>
            </a:ext>
          </a:extLst>
        </xdr:cNvPr>
        <xdr:cNvSpPr txBox="1">
          <a:spLocks noChangeArrowheads="1"/>
        </xdr:cNvSpPr>
      </xdr:nvSpPr>
      <xdr:spPr bwMode="auto">
        <a:xfrm>
          <a:off x="7629525" y="7743825"/>
          <a:ext cx="255270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　トラスト</a:t>
          </a:r>
          <a:endParaRPr lang="ja-JP" alt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a:p>
          <a:pPr algn="l" rtl="0">
            <a:defRPr sz="1000"/>
          </a:pPr>
          <a:endParaRPr lang="en-US" altLang="ja-JP" sz="900" b="0" i="0" strike="noStrike">
            <a:solidFill>
              <a:srgbClr val="000000"/>
            </a:solidFill>
            <a:latin typeface="ＭＳ Ｐゴシック" pitchFamily="50" charset="-128"/>
            <a:ea typeface="ＭＳ Ｐゴシック" pitchFamily="50" charset="-128"/>
          </a:endParaRPr>
        </a:p>
      </xdr:txBody>
    </xdr:sp>
    <xdr:clientData/>
  </xdr:twoCellAnchor>
  <xdr:twoCellAnchor>
    <xdr:from>
      <xdr:col>12</xdr:col>
      <xdr:colOff>0</xdr:colOff>
      <xdr:row>0</xdr:row>
      <xdr:rowOff>171449</xdr:rowOff>
    </xdr:from>
    <xdr:to>
      <xdr:col>16</xdr:col>
      <xdr:colOff>314325</xdr:colOff>
      <xdr:row>6</xdr:row>
      <xdr:rowOff>238124</xdr:rowOff>
    </xdr:to>
    <xdr:sp macro="" textlink="">
      <xdr:nvSpPr>
        <xdr:cNvPr id="5" name="Text Box 8">
          <a:extLst>
            <a:ext uri="{FF2B5EF4-FFF2-40B4-BE49-F238E27FC236}">
              <a16:creationId xmlns:a16="http://schemas.microsoft.com/office/drawing/2014/main" id="{7B1F0B64-651E-4718-8A5A-050E4609FE7E}"/>
            </a:ext>
          </a:extLst>
        </xdr:cNvPr>
        <xdr:cNvSpPr txBox="1">
          <a:spLocks noChangeArrowheads="1"/>
        </xdr:cNvSpPr>
      </xdr:nvSpPr>
      <xdr:spPr bwMode="auto">
        <a:xfrm>
          <a:off x="7620000" y="171449"/>
          <a:ext cx="2552700" cy="1095375"/>
        </a:xfrm>
        <a:prstGeom prst="rect">
          <a:avLst/>
        </a:prstGeom>
        <a:noFill/>
        <a:ln w="9525">
          <a:noFill/>
          <a:miter lim="800000"/>
          <a:headEnd/>
          <a:tailEnd/>
        </a:ln>
      </xdr:spPr>
      <xdr:txBody>
        <a:bodyPr vertOverflow="clip" wrap="square" lIns="27432" tIns="18288" rIns="0" bIns="0" anchor="t" upright="1"/>
        <a:lstStyle/>
        <a:p>
          <a:pPr algn="l" rtl="0">
            <a:lnSpc>
              <a:spcPts val="1100"/>
            </a:lnSpc>
            <a:defRPr sz="1000"/>
          </a:pP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541-0046</a:t>
          </a:r>
        </a:p>
        <a:p>
          <a:pPr algn="l" rtl="0">
            <a:lnSpc>
              <a:spcPts val="1100"/>
            </a:lnSpc>
            <a:defRPr sz="1000"/>
          </a:pPr>
          <a:r>
            <a:rPr lang="ja-JP" altLang="en-US" sz="900" b="0" i="0" strike="noStrike">
              <a:solidFill>
                <a:srgbClr val="000000"/>
              </a:solidFill>
              <a:latin typeface="ＭＳ Ｐゴシック"/>
              <a:ea typeface="ＭＳ Ｐゴシック"/>
            </a:rPr>
            <a:t>大阪府大阪市中央区平野町２丁目４</a:t>
          </a: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１１</a:t>
          </a:r>
          <a:endParaRPr lang="en-US" altLang="ja-JP" sz="900" b="0" i="0" strike="noStrike">
            <a:solidFill>
              <a:srgbClr val="000000"/>
            </a:solidFill>
            <a:latin typeface="ＭＳ Ｐゴシック"/>
            <a:ea typeface="ＭＳ Ｐゴシック"/>
          </a:endParaRPr>
        </a:p>
        <a:p>
          <a:pPr algn="l" rtl="0">
            <a:defRPr sz="1000"/>
          </a:pPr>
          <a:r>
            <a:rPr lang="ja-JP" altLang="en-US" sz="1000" b="0" i="0">
              <a:latin typeface="+mn-lt"/>
              <a:ea typeface="+mn-ea"/>
              <a:cs typeface="+mn-cs"/>
            </a:rPr>
            <a:t>　　　　　　　　　　　　</a:t>
          </a:r>
          <a:r>
            <a:rPr lang="en-US" altLang="ja-JP" sz="1000" b="0" i="0">
              <a:latin typeface="+mn-lt"/>
              <a:ea typeface="+mn-ea"/>
              <a:cs typeface="+mn-cs"/>
            </a:rPr>
            <a:t>KCI</a:t>
          </a:r>
          <a:r>
            <a:rPr lang="ja-JP" altLang="en-US" sz="900" b="0" i="0">
              <a:latin typeface="+mn-lt"/>
              <a:ea typeface="+mn-ea"/>
              <a:cs typeface="+mn-cs"/>
            </a:rPr>
            <a:t>平野町ビル８階</a:t>
          </a:r>
          <a:endParaRPr lang="ja-JP" altLang="en-US" sz="900" b="0" i="0" strike="noStrike">
            <a:solidFill>
              <a:srgbClr val="000000"/>
            </a:solidFill>
            <a:latin typeface="ＭＳ Ｐゴシック"/>
            <a:ea typeface="ＭＳ Ｐゴシック"/>
          </a:endParaRPr>
        </a:p>
        <a:p>
          <a:pPr algn="l" rtl="0">
            <a:defRPr sz="1000"/>
          </a:pPr>
          <a:r>
            <a:rPr lang="ja-JP" altLang="en-US" sz="900" b="0" i="0" strike="noStrike">
              <a:solidFill>
                <a:srgbClr val="000000"/>
              </a:solidFill>
              <a:latin typeface="ＭＳ Ｐゴシック"/>
              <a:ea typeface="ＭＳ Ｐゴシック"/>
            </a:rPr>
            <a:t>     </a:t>
          </a:r>
          <a:r>
            <a:rPr lang="ja-JP" altLang="en-US" sz="1100" b="1" i="0" strike="noStrike">
              <a:solidFill>
                <a:srgbClr val="000000"/>
              </a:solidFill>
              <a:latin typeface="ＭＳ Ｐゴシック"/>
              <a:ea typeface="ＭＳ Ｐゴシック"/>
            </a:rPr>
            <a:t>株式会社　トラスト</a:t>
          </a:r>
          <a:endParaRPr lang="ja-JP" altLang="en-US" sz="1000" b="0" i="0" strike="noStrike">
            <a:solidFill>
              <a:srgbClr val="000000"/>
            </a:solidFill>
            <a:latin typeface="ＭＳ Ｐゴシック"/>
            <a:ea typeface="ＭＳ Ｐゴシック"/>
          </a:endParaRPr>
        </a:p>
        <a:p>
          <a:pPr algn="l" rtl="0">
            <a:lnSpc>
              <a:spcPts val="1100"/>
            </a:lnSpc>
            <a:defRPr sz="1000"/>
          </a:pPr>
          <a:r>
            <a:rPr lang="ja-JP" altLang="en-US" sz="900" b="0" i="0" strike="noStrike">
              <a:solidFill>
                <a:srgbClr val="000000"/>
              </a:solidFill>
              <a:latin typeface="ＭＳ Ｐゴシック"/>
              <a:ea typeface="ＭＳ Ｐゴシック"/>
            </a:rPr>
            <a:t>      電話　</a:t>
          </a:r>
          <a:r>
            <a:rPr lang="en-US" altLang="ja-JP" sz="900" b="0" i="0" strike="noStrike">
              <a:solidFill>
                <a:srgbClr val="000000"/>
              </a:solidFill>
              <a:latin typeface="ＭＳ Ｐゴシック"/>
              <a:ea typeface="ＭＳ Ｐゴシック"/>
            </a:rPr>
            <a:t>06</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6208</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2607</a:t>
          </a:r>
          <a:r>
            <a:rPr lang="ja-JP" altLang="en-US" sz="900" b="0" i="0" strike="noStrike">
              <a:solidFill>
                <a:srgbClr val="000000"/>
              </a:solidFill>
              <a:latin typeface="ＭＳ Ｐゴシック"/>
              <a:ea typeface="ＭＳ Ｐゴシック"/>
            </a:rPr>
            <a:t>　（代表）</a:t>
          </a:r>
        </a:p>
        <a:p>
          <a:pPr algn="l" rtl="0">
            <a:lnSpc>
              <a:spcPts val="1000"/>
            </a:lnSpc>
            <a:defRPr sz="1000"/>
          </a:pPr>
          <a:r>
            <a:rPr lang="ja-JP" altLang="en-US" sz="900" b="0" i="0" strike="noStrike">
              <a:solidFill>
                <a:srgbClr val="000000"/>
              </a:solidFill>
              <a:latin typeface="ＭＳ Ｐゴシック"/>
              <a:ea typeface="ＭＳ Ｐゴシック"/>
            </a:rPr>
            <a:t>      ＦＡＸ　</a:t>
          </a:r>
          <a:r>
            <a:rPr lang="en-US" altLang="ja-JP" sz="900" b="0" i="0" strike="noStrike">
              <a:solidFill>
                <a:srgbClr val="000000"/>
              </a:solidFill>
              <a:latin typeface="ＭＳ Ｐゴシック"/>
              <a:ea typeface="ＭＳ Ｐゴシック"/>
            </a:rPr>
            <a:t>06</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6208</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2610</a:t>
          </a:r>
        </a:p>
      </xdr:txBody>
    </xdr:sp>
    <xdr:clientData/>
  </xdr:twoCellAnchor>
  <xdr:twoCellAnchor>
    <xdr:from>
      <xdr:col>9</xdr:col>
      <xdr:colOff>66675</xdr:colOff>
      <xdr:row>25</xdr:row>
      <xdr:rowOff>28575</xdr:rowOff>
    </xdr:from>
    <xdr:to>
      <xdr:col>9</xdr:col>
      <xdr:colOff>180975</xdr:colOff>
      <xdr:row>26</xdr:row>
      <xdr:rowOff>0</xdr:rowOff>
    </xdr:to>
    <xdr:sp macro="" textlink="">
      <xdr:nvSpPr>
        <xdr:cNvPr id="6" name="Oval 16">
          <a:extLst>
            <a:ext uri="{FF2B5EF4-FFF2-40B4-BE49-F238E27FC236}">
              <a16:creationId xmlns:a16="http://schemas.microsoft.com/office/drawing/2014/main" id="{C67B7D15-F950-455F-A342-5793B3E5AB17}"/>
            </a:ext>
          </a:extLst>
        </xdr:cNvPr>
        <xdr:cNvSpPr>
          <a:spLocks noChangeArrowheads="1"/>
        </xdr:cNvSpPr>
      </xdr:nvSpPr>
      <xdr:spPr bwMode="auto">
        <a:xfrm>
          <a:off x="5562600" y="4171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19050</xdr:colOff>
      <xdr:row>25</xdr:row>
      <xdr:rowOff>28575</xdr:rowOff>
    </xdr:from>
    <xdr:to>
      <xdr:col>10</xdr:col>
      <xdr:colOff>133350</xdr:colOff>
      <xdr:row>26</xdr:row>
      <xdr:rowOff>0</xdr:rowOff>
    </xdr:to>
    <xdr:sp macro="" textlink="">
      <xdr:nvSpPr>
        <xdr:cNvPr id="7" name="Oval 17">
          <a:extLst>
            <a:ext uri="{FF2B5EF4-FFF2-40B4-BE49-F238E27FC236}">
              <a16:creationId xmlns:a16="http://schemas.microsoft.com/office/drawing/2014/main" id="{F62C033B-7CF8-4019-8E69-D99C000E09E9}"/>
            </a:ext>
          </a:extLst>
        </xdr:cNvPr>
        <xdr:cNvSpPr>
          <a:spLocks noChangeArrowheads="1"/>
        </xdr:cNvSpPr>
      </xdr:nvSpPr>
      <xdr:spPr bwMode="auto">
        <a:xfrm>
          <a:off x="6324600" y="4171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25</xdr:row>
      <xdr:rowOff>28575</xdr:rowOff>
    </xdr:from>
    <xdr:to>
      <xdr:col>11</xdr:col>
      <xdr:colOff>133350</xdr:colOff>
      <xdr:row>26</xdr:row>
      <xdr:rowOff>0</xdr:rowOff>
    </xdr:to>
    <xdr:sp macro="" textlink="">
      <xdr:nvSpPr>
        <xdr:cNvPr id="8" name="Oval 18">
          <a:extLst>
            <a:ext uri="{FF2B5EF4-FFF2-40B4-BE49-F238E27FC236}">
              <a16:creationId xmlns:a16="http://schemas.microsoft.com/office/drawing/2014/main" id="{DA48BEF8-F466-4252-8093-B075A41D8BB5}"/>
            </a:ext>
          </a:extLst>
        </xdr:cNvPr>
        <xdr:cNvSpPr>
          <a:spLocks noChangeArrowheads="1"/>
        </xdr:cNvSpPr>
      </xdr:nvSpPr>
      <xdr:spPr bwMode="auto">
        <a:xfrm>
          <a:off x="6829425" y="4171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19050</xdr:colOff>
      <xdr:row>25</xdr:row>
      <xdr:rowOff>28575</xdr:rowOff>
    </xdr:from>
    <xdr:to>
      <xdr:col>12</xdr:col>
      <xdr:colOff>133350</xdr:colOff>
      <xdr:row>26</xdr:row>
      <xdr:rowOff>0</xdr:rowOff>
    </xdr:to>
    <xdr:sp macro="" textlink="">
      <xdr:nvSpPr>
        <xdr:cNvPr id="9" name="Oval 19">
          <a:extLst>
            <a:ext uri="{FF2B5EF4-FFF2-40B4-BE49-F238E27FC236}">
              <a16:creationId xmlns:a16="http://schemas.microsoft.com/office/drawing/2014/main" id="{23D54F23-1A9C-47E2-A35D-91D822286E3A}"/>
            </a:ext>
          </a:extLst>
        </xdr:cNvPr>
        <xdr:cNvSpPr>
          <a:spLocks noChangeArrowheads="1"/>
        </xdr:cNvSpPr>
      </xdr:nvSpPr>
      <xdr:spPr bwMode="auto">
        <a:xfrm>
          <a:off x="7639050" y="4171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428625</xdr:colOff>
      <xdr:row>26</xdr:row>
      <xdr:rowOff>0</xdr:rowOff>
    </xdr:from>
    <xdr:to>
      <xdr:col>14</xdr:col>
      <xdr:colOff>542925</xdr:colOff>
      <xdr:row>26</xdr:row>
      <xdr:rowOff>142875</xdr:rowOff>
    </xdr:to>
    <xdr:sp macro="" textlink="">
      <xdr:nvSpPr>
        <xdr:cNvPr id="10" name="Oval 21">
          <a:extLst>
            <a:ext uri="{FF2B5EF4-FFF2-40B4-BE49-F238E27FC236}">
              <a16:creationId xmlns:a16="http://schemas.microsoft.com/office/drawing/2014/main" id="{D805A543-619D-42FD-A39C-5F397577D706}"/>
            </a:ext>
          </a:extLst>
        </xdr:cNvPr>
        <xdr:cNvSpPr>
          <a:spLocks noChangeArrowheads="1"/>
        </xdr:cNvSpPr>
      </xdr:nvSpPr>
      <xdr:spPr bwMode="auto">
        <a:xfrm>
          <a:off x="9010650" y="43148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647700</xdr:colOff>
      <xdr:row>26</xdr:row>
      <xdr:rowOff>0</xdr:rowOff>
    </xdr:from>
    <xdr:to>
      <xdr:col>14</xdr:col>
      <xdr:colOff>762000</xdr:colOff>
      <xdr:row>26</xdr:row>
      <xdr:rowOff>142875</xdr:rowOff>
    </xdr:to>
    <xdr:sp macro="" textlink="">
      <xdr:nvSpPr>
        <xdr:cNvPr id="11" name="Oval 22">
          <a:extLst>
            <a:ext uri="{FF2B5EF4-FFF2-40B4-BE49-F238E27FC236}">
              <a16:creationId xmlns:a16="http://schemas.microsoft.com/office/drawing/2014/main" id="{EA5A691E-1DA5-44DB-9008-6F2AC07C12F3}"/>
            </a:ext>
          </a:extLst>
        </xdr:cNvPr>
        <xdr:cNvSpPr>
          <a:spLocks noChangeArrowheads="1"/>
        </xdr:cNvSpPr>
      </xdr:nvSpPr>
      <xdr:spPr bwMode="auto">
        <a:xfrm>
          <a:off x="9229725" y="43148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552450</xdr:colOff>
      <xdr:row>25</xdr:row>
      <xdr:rowOff>152400</xdr:rowOff>
    </xdr:from>
    <xdr:to>
      <xdr:col>14</xdr:col>
      <xdr:colOff>638175</xdr:colOff>
      <xdr:row>26</xdr:row>
      <xdr:rowOff>114300</xdr:rowOff>
    </xdr:to>
    <xdr:sp macro="" textlink="">
      <xdr:nvSpPr>
        <xdr:cNvPr id="12" name="Text Box 23">
          <a:extLst>
            <a:ext uri="{FF2B5EF4-FFF2-40B4-BE49-F238E27FC236}">
              <a16:creationId xmlns:a16="http://schemas.microsoft.com/office/drawing/2014/main" id="{5DAAA4CF-9035-474D-921D-152278FD471F}"/>
            </a:ext>
          </a:extLst>
        </xdr:cNvPr>
        <xdr:cNvSpPr txBox="1">
          <a:spLocks noChangeArrowheads="1"/>
        </xdr:cNvSpPr>
      </xdr:nvSpPr>
      <xdr:spPr bwMode="auto">
        <a:xfrm>
          <a:off x="9134475" y="4295775"/>
          <a:ext cx="857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11</xdr:col>
      <xdr:colOff>333375</xdr:colOff>
      <xdr:row>26</xdr:row>
      <xdr:rowOff>0</xdr:rowOff>
    </xdr:from>
    <xdr:to>
      <xdr:col>11</xdr:col>
      <xdr:colOff>447675</xdr:colOff>
      <xdr:row>26</xdr:row>
      <xdr:rowOff>142875</xdr:rowOff>
    </xdr:to>
    <xdr:sp macro="" textlink="">
      <xdr:nvSpPr>
        <xdr:cNvPr id="13" name="Oval 24">
          <a:extLst>
            <a:ext uri="{FF2B5EF4-FFF2-40B4-BE49-F238E27FC236}">
              <a16:creationId xmlns:a16="http://schemas.microsoft.com/office/drawing/2014/main" id="{7FA987CE-0255-45EF-A167-0A125A749BB4}"/>
            </a:ext>
          </a:extLst>
        </xdr:cNvPr>
        <xdr:cNvSpPr>
          <a:spLocks noChangeArrowheads="1"/>
        </xdr:cNvSpPr>
      </xdr:nvSpPr>
      <xdr:spPr bwMode="auto">
        <a:xfrm>
          <a:off x="7143750" y="43148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581025</xdr:colOff>
      <xdr:row>26</xdr:row>
      <xdr:rowOff>0</xdr:rowOff>
    </xdr:from>
    <xdr:to>
      <xdr:col>11</xdr:col>
      <xdr:colOff>695325</xdr:colOff>
      <xdr:row>26</xdr:row>
      <xdr:rowOff>142875</xdr:rowOff>
    </xdr:to>
    <xdr:sp macro="" textlink="">
      <xdr:nvSpPr>
        <xdr:cNvPr id="14" name="Oval 25">
          <a:extLst>
            <a:ext uri="{FF2B5EF4-FFF2-40B4-BE49-F238E27FC236}">
              <a16:creationId xmlns:a16="http://schemas.microsoft.com/office/drawing/2014/main" id="{1B019EE5-047D-41D7-9E55-3D8B66DBF1D6}"/>
            </a:ext>
          </a:extLst>
        </xdr:cNvPr>
        <xdr:cNvSpPr>
          <a:spLocks noChangeArrowheads="1"/>
        </xdr:cNvSpPr>
      </xdr:nvSpPr>
      <xdr:spPr bwMode="auto">
        <a:xfrm>
          <a:off x="7391400" y="43148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457200</xdr:colOff>
      <xdr:row>25</xdr:row>
      <xdr:rowOff>152400</xdr:rowOff>
    </xdr:from>
    <xdr:to>
      <xdr:col>11</xdr:col>
      <xdr:colOff>581025</xdr:colOff>
      <xdr:row>26</xdr:row>
      <xdr:rowOff>114300</xdr:rowOff>
    </xdr:to>
    <xdr:sp macro="" textlink="">
      <xdr:nvSpPr>
        <xdr:cNvPr id="15" name="Text Box 26">
          <a:extLst>
            <a:ext uri="{FF2B5EF4-FFF2-40B4-BE49-F238E27FC236}">
              <a16:creationId xmlns:a16="http://schemas.microsoft.com/office/drawing/2014/main" id="{88543336-DB64-4F43-8BF7-865C689E026E}"/>
            </a:ext>
          </a:extLst>
        </xdr:cNvPr>
        <xdr:cNvSpPr txBox="1">
          <a:spLocks noChangeArrowheads="1"/>
        </xdr:cNvSpPr>
      </xdr:nvSpPr>
      <xdr:spPr bwMode="auto">
        <a:xfrm>
          <a:off x="7267575" y="4295775"/>
          <a:ext cx="1238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9</xdr:col>
      <xdr:colOff>66675</xdr:colOff>
      <xdr:row>65</xdr:row>
      <xdr:rowOff>28575</xdr:rowOff>
    </xdr:from>
    <xdr:to>
      <xdr:col>9</xdr:col>
      <xdr:colOff>180975</xdr:colOff>
      <xdr:row>66</xdr:row>
      <xdr:rowOff>0</xdr:rowOff>
    </xdr:to>
    <xdr:sp macro="" textlink="">
      <xdr:nvSpPr>
        <xdr:cNvPr id="16" name="Oval 27">
          <a:extLst>
            <a:ext uri="{FF2B5EF4-FFF2-40B4-BE49-F238E27FC236}">
              <a16:creationId xmlns:a16="http://schemas.microsoft.com/office/drawing/2014/main" id="{07DE751F-30C0-4159-ACBA-788CABBD5F30}"/>
            </a:ext>
          </a:extLst>
        </xdr:cNvPr>
        <xdr:cNvSpPr>
          <a:spLocks noChangeArrowheads="1"/>
        </xdr:cNvSpPr>
      </xdr:nvSpPr>
      <xdr:spPr bwMode="auto">
        <a:xfrm>
          <a:off x="5562600" y="117252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19050</xdr:colOff>
      <xdr:row>65</xdr:row>
      <xdr:rowOff>28575</xdr:rowOff>
    </xdr:from>
    <xdr:to>
      <xdr:col>10</xdr:col>
      <xdr:colOff>133350</xdr:colOff>
      <xdr:row>66</xdr:row>
      <xdr:rowOff>0</xdr:rowOff>
    </xdr:to>
    <xdr:sp macro="" textlink="">
      <xdr:nvSpPr>
        <xdr:cNvPr id="17" name="Oval 28">
          <a:extLst>
            <a:ext uri="{FF2B5EF4-FFF2-40B4-BE49-F238E27FC236}">
              <a16:creationId xmlns:a16="http://schemas.microsoft.com/office/drawing/2014/main" id="{2731818D-81CA-4A4D-AB3E-AEC6C78D50CE}"/>
            </a:ext>
          </a:extLst>
        </xdr:cNvPr>
        <xdr:cNvSpPr>
          <a:spLocks noChangeArrowheads="1"/>
        </xdr:cNvSpPr>
      </xdr:nvSpPr>
      <xdr:spPr bwMode="auto">
        <a:xfrm>
          <a:off x="6324600" y="117252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65</xdr:row>
      <xdr:rowOff>28575</xdr:rowOff>
    </xdr:from>
    <xdr:to>
      <xdr:col>11</xdr:col>
      <xdr:colOff>133350</xdr:colOff>
      <xdr:row>66</xdr:row>
      <xdr:rowOff>0</xdr:rowOff>
    </xdr:to>
    <xdr:sp macro="" textlink="">
      <xdr:nvSpPr>
        <xdr:cNvPr id="18" name="Oval 29">
          <a:extLst>
            <a:ext uri="{FF2B5EF4-FFF2-40B4-BE49-F238E27FC236}">
              <a16:creationId xmlns:a16="http://schemas.microsoft.com/office/drawing/2014/main" id="{C975CB48-E257-4387-A858-4A08EE16DD3B}"/>
            </a:ext>
          </a:extLst>
        </xdr:cNvPr>
        <xdr:cNvSpPr>
          <a:spLocks noChangeArrowheads="1"/>
        </xdr:cNvSpPr>
      </xdr:nvSpPr>
      <xdr:spPr bwMode="auto">
        <a:xfrm>
          <a:off x="6829425" y="117252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19050</xdr:colOff>
      <xdr:row>65</xdr:row>
      <xdr:rowOff>28575</xdr:rowOff>
    </xdr:from>
    <xdr:to>
      <xdr:col>12</xdr:col>
      <xdr:colOff>133350</xdr:colOff>
      <xdr:row>66</xdr:row>
      <xdr:rowOff>0</xdr:rowOff>
    </xdr:to>
    <xdr:sp macro="" textlink="">
      <xdr:nvSpPr>
        <xdr:cNvPr id="19" name="Oval 30">
          <a:extLst>
            <a:ext uri="{FF2B5EF4-FFF2-40B4-BE49-F238E27FC236}">
              <a16:creationId xmlns:a16="http://schemas.microsoft.com/office/drawing/2014/main" id="{A5D9F973-8ABA-478B-ADD1-E6396EA19B3F}"/>
            </a:ext>
          </a:extLst>
        </xdr:cNvPr>
        <xdr:cNvSpPr>
          <a:spLocks noChangeArrowheads="1"/>
        </xdr:cNvSpPr>
      </xdr:nvSpPr>
      <xdr:spPr bwMode="auto">
        <a:xfrm>
          <a:off x="7639050" y="117252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428625</xdr:colOff>
      <xdr:row>66</xdr:row>
      <xdr:rowOff>0</xdr:rowOff>
    </xdr:from>
    <xdr:to>
      <xdr:col>14</xdr:col>
      <xdr:colOff>542925</xdr:colOff>
      <xdr:row>66</xdr:row>
      <xdr:rowOff>142875</xdr:rowOff>
    </xdr:to>
    <xdr:sp macro="" textlink="">
      <xdr:nvSpPr>
        <xdr:cNvPr id="20" name="Oval 31">
          <a:extLst>
            <a:ext uri="{FF2B5EF4-FFF2-40B4-BE49-F238E27FC236}">
              <a16:creationId xmlns:a16="http://schemas.microsoft.com/office/drawing/2014/main" id="{546AB5AF-FB19-459A-AD07-6DAD47E6C2A3}"/>
            </a:ext>
          </a:extLst>
        </xdr:cNvPr>
        <xdr:cNvSpPr>
          <a:spLocks noChangeArrowheads="1"/>
        </xdr:cNvSpPr>
      </xdr:nvSpPr>
      <xdr:spPr bwMode="auto">
        <a:xfrm>
          <a:off x="9010650" y="118681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647700</xdr:colOff>
      <xdr:row>66</xdr:row>
      <xdr:rowOff>0</xdr:rowOff>
    </xdr:from>
    <xdr:to>
      <xdr:col>14</xdr:col>
      <xdr:colOff>762000</xdr:colOff>
      <xdr:row>66</xdr:row>
      <xdr:rowOff>142875</xdr:rowOff>
    </xdr:to>
    <xdr:sp macro="" textlink="">
      <xdr:nvSpPr>
        <xdr:cNvPr id="21" name="Oval 32">
          <a:extLst>
            <a:ext uri="{FF2B5EF4-FFF2-40B4-BE49-F238E27FC236}">
              <a16:creationId xmlns:a16="http://schemas.microsoft.com/office/drawing/2014/main" id="{63DF8E6F-9CDA-4ADB-9FE9-001A7E077267}"/>
            </a:ext>
          </a:extLst>
        </xdr:cNvPr>
        <xdr:cNvSpPr>
          <a:spLocks noChangeArrowheads="1"/>
        </xdr:cNvSpPr>
      </xdr:nvSpPr>
      <xdr:spPr bwMode="auto">
        <a:xfrm>
          <a:off x="9229725" y="118681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552450</xdr:colOff>
      <xdr:row>65</xdr:row>
      <xdr:rowOff>152400</xdr:rowOff>
    </xdr:from>
    <xdr:to>
      <xdr:col>14</xdr:col>
      <xdr:colOff>638175</xdr:colOff>
      <xdr:row>66</xdr:row>
      <xdr:rowOff>114300</xdr:rowOff>
    </xdr:to>
    <xdr:sp macro="" textlink="">
      <xdr:nvSpPr>
        <xdr:cNvPr id="22" name="Text Box 33">
          <a:extLst>
            <a:ext uri="{FF2B5EF4-FFF2-40B4-BE49-F238E27FC236}">
              <a16:creationId xmlns:a16="http://schemas.microsoft.com/office/drawing/2014/main" id="{CE8ABCDA-860D-4886-A345-ED78F2E971CD}"/>
            </a:ext>
          </a:extLst>
        </xdr:cNvPr>
        <xdr:cNvSpPr txBox="1">
          <a:spLocks noChangeArrowheads="1"/>
        </xdr:cNvSpPr>
      </xdr:nvSpPr>
      <xdr:spPr bwMode="auto">
        <a:xfrm>
          <a:off x="9134475" y="11849100"/>
          <a:ext cx="857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11</xdr:col>
      <xdr:colOff>333375</xdr:colOff>
      <xdr:row>66</xdr:row>
      <xdr:rowOff>0</xdr:rowOff>
    </xdr:from>
    <xdr:to>
      <xdr:col>11</xdr:col>
      <xdr:colOff>447675</xdr:colOff>
      <xdr:row>66</xdr:row>
      <xdr:rowOff>142875</xdr:rowOff>
    </xdr:to>
    <xdr:sp macro="" textlink="">
      <xdr:nvSpPr>
        <xdr:cNvPr id="23" name="Oval 34">
          <a:extLst>
            <a:ext uri="{FF2B5EF4-FFF2-40B4-BE49-F238E27FC236}">
              <a16:creationId xmlns:a16="http://schemas.microsoft.com/office/drawing/2014/main" id="{FC7D5689-4F7D-46F0-8858-B5A6AFA53906}"/>
            </a:ext>
          </a:extLst>
        </xdr:cNvPr>
        <xdr:cNvSpPr>
          <a:spLocks noChangeArrowheads="1"/>
        </xdr:cNvSpPr>
      </xdr:nvSpPr>
      <xdr:spPr bwMode="auto">
        <a:xfrm>
          <a:off x="7143750" y="118681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581025</xdr:colOff>
      <xdr:row>66</xdr:row>
      <xdr:rowOff>0</xdr:rowOff>
    </xdr:from>
    <xdr:to>
      <xdr:col>11</xdr:col>
      <xdr:colOff>695325</xdr:colOff>
      <xdr:row>66</xdr:row>
      <xdr:rowOff>142875</xdr:rowOff>
    </xdr:to>
    <xdr:sp macro="" textlink="">
      <xdr:nvSpPr>
        <xdr:cNvPr id="24" name="Oval 35">
          <a:extLst>
            <a:ext uri="{FF2B5EF4-FFF2-40B4-BE49-F238E27FC236}">
              <a16:creationId xmlns:a16="http://schemas.microsoft.com/office/drawing/2014/main" id="{B37841A3-C604-463A-9D02-BC37472B5BF3}"/>
            </a:ext>
          </a:extLst>
        </xdr:cNvPr>
        <xdr:cNvSpPr>
          <a:spLocks noChangeArrowheads="1"/>
        </xdr:cNvSpPr>
      </xdr:nvSpPr>
      <xdr:spPr bwMode="auto">
        <a:xfrm>
          <a:off x="7391400" y="118681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457200</xdr:colOff>
      <xdr:row>65</xdr:row>
      <xdr:rowOff>152400</xdr:rowOff>
    </xdr:from>
    <xdr:to>
      <xdr:col>11</xdr:col>
      <xdr:colOff>581025</xdr:colOff>
      <xdr:row>66</xdr:row>
      <xdr:rowOff>114300</xdr:rowOff>
    </xdr:to>
    <xdr:sp macro="" textlink="">
      <xdr:nvSpPr>
        <xdr:cNvPr id="25" name="Text Box 36">
          <a:extLst>
            <a:ext uri="{FF2B5EF4-FFF2-40B4-BE49-F238E27FC236}">
              <a16:creationId xmlns:a16="http://schemas.microsoft.com/office/drawing/2014/main" id="{FAFF009C-705A-4146-8EAB-4D573E3EDF04}"/>
            </a:ext>
          </a:extLst>
        </xdr:cNvPr>
        <xdr:cNvSpPr txBox="1">
          <a:spLocks noChangeArrowheads="1"/>
        </xdr:cNvSpPr>
      </xdr:nvSpPr>
      <xdr:spPr bwMode="auto">
        <a:xfrm>
          <a:off x="7267575" y="11849100"/>
          <a:ext cx="1238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12</xdr:col>
      <xdr:colOff>266700</xdr:colOff>
      <xdr:row>21</xdr:row>
      <xdr:rowOff>85725</xdr:rowOff>
    </xdr:from>
    <xdr:to>
      <xdr:col>16</xdr:col>
      <xdr:colOff>485775</xdr:colOff>
      <xdr:row>24</xdr:row>
      <xdr:rowOff>76200</xdr:rowOff>
    </xdr:to>
    <xdr:sp macro="" textlink="">
      <xdr:nvSpPr>
        <xdr:cNvPr id="26" name="AutoShape 37">
          <a:extLst>
            <a:ext uri="{FF2B5EF4-FFF2-40B4-BE49-F238E27FC236}">
              <a16:creationId xmlns:a16="http://schemas.microsoft.com/office/drawing/2014/main" id="{919DF6BC-7445-4408-8E3D-B3062DEE0804}"/>
            </a:ext>
          </a:extLst>
        </xdr:cNvPr>
        <xdr:cNvSpPr>
          <a:spLocks noChangeArrowheads="1"/>
        </xdr:cNvSpPr>
      </xdr:nvSpPr>
      <xdr:spPr bwMode="auto">
        <a:xfrm>
          <a:off x="7886700" y="3590925"/>
          <a:ext cx="2457450" cy="45720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266700</xdr:colOff>
      <xdr:row>61</xdr:row>
      <xdr:rowOff>85725</xdr:rowOff>
    </xdr:from>
    <xdr:to>
      <xdr:col>16</xdr:col>
      <xdr:colOff>485775</xdr:colOff>
      <xdr:row>64</xdr:row>
      <xdr:rowOff>76200</xdr:rowOff>
    </xdr:to>
    <xdr:sp macro="" textlink="">
      <xdr:nvSpPr>
        <xdr:cNvPr id="27" name="AutoShape 38">
          <a:extLst>
            <a:ext uri="{FF2B5EF4-FFF2-40B4-BE49-F238E27FC236}">
              <a16:creationId xmlns:a16="http://schemas.microsoft.com/office/drawing/2014/main" id="{E4D91F59-3226-44BB-93B2-F051FFA5B96B}"/>
            </a:ext>
          </a:extLst>
        </xdr:cNvPr>
        <xdr:cNvSpPr>
          <a:spLocks noChangeArrowheads="1"/>
        </xdr:cNvSpPr>
      </xdr:nvSpPr>
      <xdr:spPr bwMode="auto">
        <a:xfrm>
          <a:off x="7886700" y="11144250"/>
          <a:ext cx="2457450" cy="45720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276225</xdr:colOff>
      <xdr:row>42</xdr:row>
      <xdr:rowOff>104775</xdr:rowOff>
    </xdr:from>
    <xdr:to>
      <xdr:col>15</xdr:col>
      <xdr:colOff>123825</xdr:colOff>
      <xdr:row>46</xdr:row>
      <xdr:rowOff>219075</xdr:rowOff>
    </xdr:to>
    <xdr:pic>
      <xdr:nvPicPr>
        <xdr:cNvPr id="2" name="図 30" descr="トラスト角印.jpg">
          <a:extLst>
            <a:ext uri="{FF2B5EF4-FFF2-40B4-BE49-F238E27FC236}">
              <a16:creationId xmlns:a16="http://schemas.microsoft.com/office/drawing/2014/main" id="{0C2330F7-FD12-48A7-97E7-3670A08CB8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0" y="8172450"/>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295275</xdr:colOff>
      <xdr:row>2</xdr:row>
      <xdr:rowOff>152400</xdr:rowOff>
    </xdr:from>
    <xdr:to>
      <xdr:col>15</xdr:col>
      <xdr:colOff>142875</xdr:colOff>
      <xdr:row>7</xdr:row>
      <xdr:rowOff>28575</xdr:rowOff>
    </xdr:to>
    <xdr:pic>
      <xdr:nvPicPr>
        <xdr:cNvPr id="3" name="図 28" descr="トラスト角印.jpg">
          <a:extLst>
            <a:ext uri="{FF2B5EF4-FFF2-40B4-BE49-F238E27FC236}">
              <a16:creationId xmlns:a16="http://schemas.microsoft.com/office/drawing/2014/main" id="{489F68F2-DACD-47A5-9261-15B009CCA9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77300" y="495300"/>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9525</xdr:colOff>
      <xdr:row>41</xdr:row>
      <xdr:rowOff>0</xdr:rowOff>
    </xdr:from>
    <xdr:to>
      <xdr:col>16</xdr:col>
      <xdr:colOff>323850</xdr:colOff>
      <xdr:row>46</xdr:row>
      <xdr:rowOff>190500</xdr:rowOff>
    </xdr:to>
    <xdr:sp macro="" textlink="">
      <xdr:nvSpPr>
        <xdr:cNvPr id="4" name="Text Box 9">
          <a:extLst>
            <a:ext uri="{FF2B5EF4-FFF2-40B4-BE49-F238E27FC236}">
              <a16:creationId xmlns:a16="http://schemas.microsoft.com/office/drawing/2014/main" id="{FE3EC93C-CF5D-4C44-8A8C-88DF833D5D1F}"/>
            </a:ext>
          </a:extLst>
        </xdr:cNvPr>
        <xdr:cNvSpPr txBox="1">
          <a:spLocks noChangeArrowheads="1"/>
        </xdr:cNvSpPr>
      </xdr:nvSpPr>
      <xdr:spPr bwMode="auto">
        <a:xfrm>
          <a:off x="7629525" y="7896225"/>
          <a:ext cx="255270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ja-JP" altLang="en-US" sz="900" b="0" i="0" baseline="0">
              <a:latin typeface="ＭＳ Ｐゴシック" pitchFamily="50" charset="-128"/>
              <a:ea typeface="ＭＳ Ｐゴシック" pitchFamily="50" charset="-128"/>
              <a:cs typeface="+mn-cs"/>
            </a:rPr>
            <a:t> </a:t>
          </a: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　トラスト</a:t>
          </a:r>
          <a:endParaRPr lang="ja-JP" alt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a:p>
          <a:pPr algn="l" rtl="0">
            <a:defRPr sz="1000"/>
          </a:pPr>
          <a:endParaRPr lang="en-US" altLang="ja-JP" sz="900" b="0" i="0" strike="noStrike">
            <a:solidFill>
              <a:srgbClr val="000000"/>
            </a:solidFill>
            <a:latin typeface="ＭＳ Ｐゴシック" pitchFamily="50" charset="-128"/>
            <a:ea typeface="ＭＳ Ｐゴシック" pitchFamily="50" charset="-128"/>
          </a:endParaRPr>
        </a:p>
      </xdr:txBody>
    </xdr:sp>
    <xdr:clientData/>
  </xdr:twoCellAnchor>
  <xdr:twoCellAnchor>
    <xdr:from>
      <xdr:col>11</xdr:col>
      <xdr:colOff>800100</xdr:colOff>
      <xdr:row>1</xdr:row>
      <xdr:rowOff>19049</xdr:rowOff>
    </xdr:from>
    <xdr:to>
      <xdr:col>16</xdr:col>
      <xdr:colOff>304800</xdr:colOff>
      <xdr:row>7</xdr:row>
      <xdr:rowOff>19049</xdr:rowOff>
    </xdr:to>
    <xdr:sp macro="" textlink="">
      <xdr:nvSpPr>
        <xdr:cNvPr id="5" name="Text Box 8">
          <a:extLst>
            <a:ext uri="{FF2B5EF4-FFF2-40B4-BE49-F238E27FC236}">
              <a16:creationId xmlns:a16="http://schemas.microsoft.com/office/drawing/2014/main" id="{4EE43967-E206-430F-912C-3F1F34C7D349}"/>
            </a:ext>
          </a:extLst>
        </xdr:cNvPr>
        <xdr:cNvSpPr txBox="1">
          <a:spLocks noChangeArrowheads="1"/>
        </xdr:cNvSpPr>
      </xdr:nvSpPr>
      <xdr:spPr bwMode="auto">
        <a:xfrm>
          <a:off x="7610475" y="190499"/>
          <a:ext cx="2552700" cy="1095375"/>
        </a:xfrm>
        <a:prstGeom prst="rect">
          <a:avLst/>
        </a:prstGeom>
        <a:noFill/>
        <a:ln w="9525">
          <a:no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r>
            <a:rPr lang="en-US" altLang="ja-JP" sz="900" b="0" i="0" u="none" strike="noStrike" baseline="0">
              <a:solidFill>
                <a:srgbClr val="000000"/>
              </a:solidFill>
              <a:latin typeface="ＭＳ Ｐゴシック"/>
              <a:ea typeface="ＭＳ Ｐゴシック"/>
            </a:rPr>
            <a:t>541-0046</a:t>
          </a:r>
        </a:p>
        <a:p>
          <a:pPr algn="l" rtl="0">
            <a:lnSpc>
              <a:spcPts val="1100"/>
            </a:lnSpc>
            <a:defRPr sz="1000"/>
          </a:pPr>
          <a:r>
            <a:rPr lang="ja-JP" altLang="en-US" sz="900" b="0" i="0" u="none" strike="noStrike" baseline="0">
              <a:solidFill>
                <a:srgbClr val="000000"/>
              </a:solidFill>
              <a:latin typeface="ＭＳ Ｐゴシック"/>
              <a:ea typeface="ＭＳ Ｐゴシック"/>
            </a:rPr>
            <a:t>大阪府大阪市中央区平野町２丁目４</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１１</a:t>
          </a:r>
        </a:p>
        <a:p>
          <a:pPr algn="l" rtl="0">
            <a:lnSpc>
              <a:spcPts val="1200"/>
            </a:lnSpc>
            <a:defRPr sz="1000"/>
          </a:pP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KCI</a:t>
          </a:r>
          <a:r>
            <a:rPr lang="ja-JP" altLang="en-US" sz="900" b="0" i="0" u="none" strike="noStrike" baseline="0">
              <a:solidFill>
                <a:srgbClr val="000000"/>
              </a:solidFill>
              <a:latin typeface="ＭＳ Ｐゴシック"/>
              <a:ea typeface="ＭＳ Ｐゴシック"/>
            </a:rPr>
            <a:t>平野町ビル８階</a:t>
          </a:r>
        </a:p>
        <a:p>
          <a:pPr algn="l" rtl="0">
            <a:defRPr sz="1000"/>
          </a:pPr>
          <a:r>
            <a:rPr lang="ja-JP" altLang="en-US" sz="900" b="0" i="0" u="none" strike="noStrike" baseline="0">
              <a:solidFill>
                <a:srgbClr val="000000"/>
              </a:solidFill>
              <a:latin typeface="ＭＳ Ｐゴシック"/>
              <a:ea typeface="ＭＳ Ｐゴシック"/>
            </a:rPr>
            <a:t>     </a:t>
          </a:r>
          <a:r>
            <a:rPr lang="ja-JP" altLang="en-US" sz="1100" b="1" i="0" u="none" strike="noStrike" baseline="0">
              <a:solidFill>
                <a:srgbClr val="000000"/>
              </a:solidFill>
              <a:latin typeface="ＭＳ Ｐゴシック"/>
              <a:ea typeface="ＭＳ Ｐゴシック"/>
            </a:rPr>
            <a:t>株式会社　トラスト</a:t>
          </a:r>
          <a:endParaRPr lang="ja-JP" altLang="en-US" sz="10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電話　</a:t>
          </a:r>
          <a:r>
            <a:rPr lang="en-US" altLang="ja-JP" sz="900" b="0" i="0" u="none" strike="noStrike" baseline="0">
              <a:solidFill>
                <a:srgbClr val="000000"/>
              </a:solidFill>
              <a:latin typeface="ＭＳ Ｐゴシック"/>
              <a:ea typeface="ＭＳ Ｐゴシック"/>
            </a:rPr>
            <a:t>06</a:t>
          </a:r>
          <a:r>
            <a:rPr lang="ja-JP" altLang="en-US" sz="900" b="0" i="0" u="none" strike="noStrike" baseline="0">
              <a:solidFill>
                <a:srgbClr val="000000"/>
              </a:solidFill>
              <a:latin typeface="ＭＳ Ｐゴシック"/>
              <a:ea typeface="ＭＳ Ｐゴシック"/>
            </a:rPr>
            <a:t>（</a:t>
          </a:r>
          <a:r>
            <a:rPr lang="en-US" altLang="ja-JP" sz="900" b="0" i="0" u="none" strike="noStrike" baseline="0">
              <a:solidFill>
                <a:srgbClr val="000000"/>
              </a:solidFill>
              <a:latin typeface="ＭＳ Ｐゴシック"/>
              <a:ea typeface="ＭＳ Ｐゴシック"/>
            </a:rPr>
            <a:t>6208</a:t>
          </a:r>
          <a:r>
            <a:rPr lang="ja-JP" altLang="en-US" sz="900" b="0" i="0" u="none" strike="noStrike" baseline="0">
              <a:solidFill>
                <a:srgbClr val="000000"/>
              </a:solidFill>
              <a:latin typeface="ＭＳ Ｐゴシック"/>
              <a:ea typeface="ＭＳ Ｐゴシック"/>
            </a:rPr>
            <a:t>）</a:t>
          </a:r>
          <a:r>
            <a:rPr lang="en-US" altLang="ja-JP" sz="900" b="0" i="0" u="none" strike="noStrike" baseline="0">
              <a:solidFill>
                <a:srgbClr val="000000"/>
              </a:solidFill>
              <a:latin typeface="ＭＳ Ｐゴシック"/>
              <a:ea typeface="ＭＳ Ｐゴシック"/>
            </a:rPr>
            <a:t>2607</a:t>
          </a:r>
          <a:r>
            <a:rPr lang="ja-JP" altLang="en-US" sz="900" b="0" i="0" u="none" strike="noStrike" baseline="0">
              <a:solidFill>
                <a:srgbClr val="000000"/>
              </a:solidFill>
              <a:latin typeface="ＭＳ Ｐゴシック"/>
              <a:ea typeface="ＭＳ Ｐゴシック"/>
            </a:rPr>
            <a:t>　（代表）</a:t>
          </a:r>
        </a:p>
        <a:p>
          <a:pPr algn="l" rtl="0">
            <a:lnSpc>
              <a:spcPts val="1100"/>
            </a:lnSpc>
            <a:defRPr sz="1000"/>
          </a:pPr>
          <a:r>
            <a:rPr lang="ja-JP" altLang="en-US" sz="900" b="0" i="0" u="none" strike="noStrike" baseline="0">
              <a:solidFill>
                <a:srgbClr val="000000"/>
              </a:solidFill>
              <a:latin typeface="ＭＳ Ｐゴシック"/>
              <a:ea typeface="ＭＳ Ｐゴシック"/>
            </a:rPr>
            <a:t>      ＦＡＸ　</a:t>
          </a:r>
          <a:r>
            <a:rPr lang="en-US" altLang="ja-JP" sz="900" b="0" i="0" u="none" strike="noStrike" baseline="0">
              <a:solidFill>
                <a:srgbClr val="000000"/>
              </a:solidFill>
              <a:latin typeface="ＭＳ Ｐゴシック"/>
              <a:ea typeface="ＭＳ Ｐゴシック"/>
            </a:rPr>
            <a:t>06</a:t>
          </a:r>
          <a:r>
            <a:rPr lang="ja-JP" altLang="en-US" sz="900" b="0" i="0" u="none" strike="noStrike" baseline="0">
              <a:solidFill>
                <a:srgbClr val="000000"/>
              </a:solidFill>
              <a:latin typeface="ＭＳ Ｐゴシック"/>
              <a:ea typeface="ＭＳ Ｐゴシック"/>
            </a:rPr>
            <a:t>（</a:t>
          </a:r>
          <a:r>
            <a:rPr lang="en-US" altLang="ja-JP" sz="900" b="0" i="0" u="none" strike="noStrike" baseline="0">
              <a:solidFill>
                <a:srgbClr val="000000"/>
              </a:solidFill>
              <a:latin typeface="ＭＳ Ｐゴシック"/>
              <a:ea typeface="ＭＳ Ｐゴシック"/>
            </a:rPr>
            <a:t>6208</a:t>
          </a:r>
          <a:r>
            <a:rPr lang="ja-JP" altLang="en-US" sz="900" b="0" i="0" u="none" strike="noStrike" baseline="0">
              <a:solidFill>
                <a:srgbClr val="000000"/>
              </a:solidFill>
              <a:latin typeface="ＭＳ Ｐゴシック"/>
              <a:ea typeface="ＭＳ Ｐゴシック"/>
            </a:rPr>
            <a:t>）</a:t>
          </a:r>
          <a:r>
            <a:rPr lang="en-US" altLang="ja-JP" sz="900" b="0" i="0" u="none" strike="noStrike" baseline="0">
              <a:solidFill>
                <a:srgbClr val="000000"/>
              </a:solidFill>
              <a:latin typeface="ＭＳ Ｐゴシック"/>
              <a:ea typeface="ＭＳ Ｐゴシック"/>
            </a:rPr>
            <a:t>2610</a:t>
          </a:r>
        </a:p>
      </xdr:txBody>
    </xdr:sp>
    <xdr:clientData/>
  </xdr:twoCellAnchor>
  <xdr:twoCellAnchor>
    <xdr:from>
      <xdr:col>9</xdr:col>
      <xdr:colOff>66675</xdr:colOff>
      <xdr:row>21</xdr:row>
      <xdr:rowOff>28575</xdr:rowOff>
    </xdr:from>
    <xdr:to>
      <xdr:col>9</xdr:col>
      <xdr:colOff>180975</xdr:colOff>
      <xdr:row>22</xdr:row>
      <xdr:rowOff>0</xdr:rowOff>
    </xdr:to>
    <xdr:sp macro="" textlink="">
      <xdr:nvSpPr>
        <xdr:cNvPr id="6" name="Oval 16">
          <a:extLst>
            <a:ext uri="{FF2B5EF4-FFF2-40B4-BE49-F238E27FC236}">
              <a16:creationId xmlns:a16="http://schemas.microsoft.com/office/drawing/2014/main" id="{66D061C2-C7B9-422F-90F7-604BD1F0263A}"/>
            </a:ext>
          </a:extLst>
        </xdr:cNvPr>
        <xdr:cNvSpPr>
          <a:spLocks noChangeArrowheads="1"/>
        </xdr:cNvSpPr>
      </xdr:nvSpPr>
      <xdr:spPr bwMode="auto">
        <a:xfrm>
          <a:off x="5562600" y="36099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19050</xdr:colOff>
      <xdr:row>21</xdr:row>
      <xdr:rowOff>28575</xdr:rowOff>
    </xdr:from>
    <xdr:to>
      <xdr:col>10</xdr:col>
      <xdr:colOff>133350</xdr:colOff>
      <xdr:row>22</xdr:row>
      <xdr:rowOff>0</xdr:rowOff>
    </xdr:to>
    <xdr:sp macro="" textlink="">
      <xdr:nvSpPr>
        <xdr:cNvPr id="7" name="Oval 17">
          <a:extLst>
            <a:ext uri="{FF2B5EF4-FFF2-40B4-BE49-F238E27FC236}">
              <a16:creationId xmlns:a16="http://schemas.microsoft.com/office/drawing/2014/main" id="{DB67DABA-C24F-4C1D-BC8A-F2794A2ECB97}"/>
            </a:ext>
          </a:extLst>
        </xdr:cNvPr>
        <xdr:cNvSpPr>
          <a:spLocks noChangeArrowheads="1"/>
        </xdr:cNvSpPr>
      </xdr:nvSpPr>
      <xdr:spPr bwMode="auto">
        <a:xfrm>
          <a:off x="6324600" y="36099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21</xdr:row>
      <xdr:rowOff>28575</xdr:rowOff>
    </xdr:from>
    <xdr:to>
      <xdr:col>11</xdr:col>
      <xdr:colOff>133350</xdr:colOff>
      <xdr:row>22</xdr:row>
      <xdr:rowOff>0</xdr:rowOff>
    </xdr:to>
    <xdr:sp macro="" textlink="">
      <xdr:nvSpPr>
        <xdr:cNvPr id="8" name="Oval 18">
          <a:extLst>
            <a:ext uri="{FF2B5EF4-FFF2-40B4-BE49-F238E27FC236}">
              <a16:creationId xmlns:a16="http://schemas.microsoft.com/office/drawing/2014/main" id="{653A7B60-4403-4E79-BDFB-7EAEC4F37963}"/>
            </a:ext>
          </a:extLst>
        </xdr:cNvPr>
        <xdr:cNvSpPr>
          <a:spLocks noChangeArrowheads="1"/>
        </xdr:cNvSpPr>
      </xdr:nvSpPr>
      <xdr:spPr bwMode="auto">
        <a:xfrm>
          <a:off x="6829425" y="36099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19050</xdr:colOff>
      <xdr:row>21</xdr:row>
      <xdr:rowOff>28575</xdr:rowOff>
    </xdr:from>
    <xdr:to>
      <xdr:col>12</xdr:col>
      <xdr:colOff>133350</xdr:colOff>
      <xdr:row>22</xdr:row>
      <xdr:rowOff>0</xdr:rowOff>
    </xdr:to>
    <xdr:sp macro="" textlink="">
      <xdr:nvSpPr>
        <xdr:cNvPr id="9" name="Oval 19">
          <a:extLst>
            <a:ext uri="{FF2B5EF4-FFF2-40B4-BE49-F238E27FC236}">
              <a16:creationId xmlns:a16="http://schemas.microsoft.com/office/drawing/2014/main" id="{09F7086E-A262-4930-8A2B-CB643AD54A75}"/>
            </a:ext>
          </a:extLst>
        </xdr:cNvPr>
        <xdr:cNvSpPr>
          <a:spLocks noChangeArrowheads="1"/>
        </xdr:cNvSpPr>
      </xdr:nvSpPr>
      <xdr:spPr bwMode="auto">
        <a:xfrm>
          <a:off x="7639050" y="36099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428625</xdr:colOff>
      <xdr:row>22</xdr:row>
      <xdr:rowOff>9525</xdr:rowOff>
    </xdr:from>
    <xdr:to>
      <xdr:col>14</xdr:col>
      <xdr:colOff>542925</xdr:colOff>
      <xdr:row>22</xdr:row>
      <xdr:rowOff>152400</xdr:rowOff>
    </xdr:to>
    <xdr:sp macro="" textlink="">
      <xdr:nvSpPr>
        <xdr:cNvPr id="10" name="Oval 21">
          <a:extLst>
            <a:ext uri="{FF2B5EF4-FFF2-40B4-BE49-F238E27FC236}">
              <a16:creationId xmlns:a16="http://schemas.microsoft.com/office/drawing/2014/main" id="{7E68D4CA-986E-476E-A1D3-0D14B6BB86F2}"/>
            </a:ext>
          </a:extLst>
        </xdr:cNvPr>
        <xdr:cNvSpPr>
          <a:spLocks noChangeArrowheads="1"/>
        </xdr:cNvSpPr>
      </xdr:nvSpPr>
      <xdr:spPr bwMode="auto">
        <a:xfrm>
          <a:off x="9010650" y="37623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647700</xdr:colOff>
      <xdr:row>22</xdr:row>
      <xdr:rowOff>0</xdr:rowOff>
    </xdr:from>
    <xdr:to>
      <xdr:col>14</xdr:col>
      <xdr:colOff>762000</xdr:colOff>
      <xdr:row>22</xdr:row>
      <xdr:rowOff>142875</xdr:rowOff>
    </xdr:to>
    <xdr:sp macro="" textlink="">
      <xdr:nvSpPr>
        <xdr:cNvPr id="11" name="Oval 22">
          <a:extLst>
            <a:ext uri="{FF2B5EF4-FFF2-40B4-BE49-F238E27FC236}">
              <a16:creationId xmlns:a16="http://schemas.microsoft.com/office/drawing/2014/main" id="{1AF8A2C2-624C-41B6-8BE9-9D684B43D86E}"/>
            </a:ext>
          </a:extLst>
        </xdr:cNvPr>
        <xdr:cNvSpPr>
          <a:spLocks noChangeArrowheads="1"/>
        </xdr:cNvSpPr>
      </xdr:nvSpPr>
      <xdr:spPr bwMode="auto">
        <a:xfrm>
          <a:off x="9229725" y="3752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552450</xdr:colOff>
      <xdr:row>21</xdr:row>
      <xdr:rowOff>152400</xdr:rowOff>
    </xdr:from>
    <xdr:to>
      <xdr:col>14</xdr:col>
      <xdr:colOff>638175</xdr:colOff>
      <xdr:row>22</xdr:row>
      <xdr:rowOff>114300</xdr:rowOff>
    </xdr:to>
    <xdr:sp macro="" textlink="">
      <xdr:nvSpPr>
        <xdr:cNvPr id="12" name="Text Box 23">
          <a:extLst>
            <a:ext uri="{FF2B5EF4-FFF2-40B4-BE49-F238E27FC236}">
              <a16:creationId xmlns:a16="http://schemas.microsoft.com/office/drawing/2014/main" id="{3AB4F76B-8F62-4C87-972C-456271643907}"/>
            </a:ext>
          </a:extLst>
        </xdr:cNvPr>
        <xdr:cNvSpPr txBox="1">
          <a:spLocks noChangeArrowheads="1"/>
        </xdr:cNvSpPr>
      </xdr:nvSpPr>
      <xdr:spPr bwMode="auto">
        <a:xfrm>
          <a:off x="9134475" y="3733800"/>
          <a:ext cx="857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11</xdr:col>
      <xdr:colOff>333375</xdr:colOff>
      <xdr:row>22</xdr:row>
      <xdr:rowOff>0</xdr:rowOff>
    </xdr:from>
    <xdr:to>
      <xdr:col>11</xdr:col>
      <xdr:colOff>447675</xdr:colOff>
      <xdr:row>22</xdr:row>
      <xdr:rowOff>142875</xdr:rowOff>
    </xdr:to>
    <xdr:sp macro="" textlink="">
      <xdr:nvSpPr>
        <xdr:cNvPr id="13" name="Oval 24">
          <a:extLst>
            <a:ext uri="{FF2B5EF4-FFF2-40B4-BE49-F238E27FC236}">
              <a16:creationId xmlns:a16="http://schemas.microsoft.com/office/drawing/2014/main" id="{0F075BE5-DB4E-4A62-83D0-FA3A18D22C0E}"/>
            </a:ext>
          </a:extLst>
        </xdr:cNvPr>
        <xdr:cNvSpPr>
          <a:spLocks noChangeArrowheads="1"/>
        </xdr:cNvSpPr>
      </xdr:nvSpPr>
      <xdr:spPr bwMode="auto">
        <a:xfrm>
          <a:off x="7143750" y="3752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581025</xdr:colOff>
      <xdr:row>22</xdr:row>
      <xdr:rowOff>0</xdr:rowOff>
    </xdr:from>
    <xdr:to>
      <xdr:col>11</xdr:col>
      <xdr:colOff>695325</xdr:colOff>
      <xdr:row>22</xdr:row>
      <xdr:rowOff>142875</xdr:rowOff>
    </xdr:to>
    <xdr:sp macro="" textlink="">
      <xdr:nvSpPr>
        <xdr:cNvPr id="14" name="Oval 25">
          <a:extLst>
            <a:ext uri="{FF2B5EF4-FFF2-40B4-BE49-F238E27FC236}">
              <a16:creationId xmlns:a16="http://schemas.microsoft.com/office/drawing/2014/main" id="{415EA213-8B6F-4003-9A18-695849E3614E}"/>
            </a:ext>
          </a:extLst>
        </xdr:cNvPr>
        <xdr:cNvSpPr>
          <a:spLocks noChangeArrowheads="1"/>
        </xdr:cNvSpPr>
      </xdr:nvSpPr>
      <xdr:spPr bwMode="auto">
        <a:xfrm>
          <a:off x="7391400" y="3752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457200</xdr:colOff>
      <xdr:row>21</xdr:row>
      <xdr:rowOff>152400</xdr:rowOff>
    </xdr:from>
    <xdr:to>
      <xdr:col>11</xdr:col>
      <xdr:colOff>581025</xdr:colOff>
      <xdr:row>22</xdr:row>
      <xdr:rowOff>114300</xdr:rowOff>
    </xdr:to>
    <xdr:sp macro="" textlink="">
      <xdr:nvSpPr>
        <xdr:cNvPr id="15" name="Text Box 26">
          <a:extLst>
            <a:ext uri="{FF2B5EF4-FFF2-40B4-BE49-F238E27FC236}">
              <a16:creationId xmlns:a16="http://schemas.microsoft.com/office/drawing/2014/main" id="{A1281480-DA33-4D3C-9AF7-B34929C0CB05}"/>
            </a:ext>
          </a:extLst>
        </xdr:cNvPr>
        <xdr:cNvSpPr txBox="1">
          <a:spLocks noChangeArrowheads="1"/>
        </xdr:cNvSpPr>
      </xdr:nvSpPr>
      <xdr:spPr bwMode="auto">
        <a:xfrm>
          <a:off x="7267575" y="3733800"/>
          <a:ext cx="1238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9</xdr:col>
      <xdr:colOff>66675</xdr:colOff>
      <xdr:row>61</xdr:row>
      <xdr:rowOff>28575</xdr:rowOff>
    </xdr:from>
    <xdr:to>
      <xdr:col>9</xdr:col>
      <xdr:colOff>180975</xdr:colOff>
      <xdr:row>62</xdr:row>
      <xdr:rowOff>0</xdr:rowOff>
    </xdr:to>
    <xdr:sp macro="" textlink="">
      <xdr:nvSpPr>
        <xdr:cNvPr id="16" name="Oval 27">
          <a:extLst>
            <a:ext uri="{FF2B5EF4-FFF2-40B4-BE49-F238E27FC236}">
              <a16:creationId xmlns:a16="http://schemas.microsoft.com/office/drawing/2014/main" id="{CAB41E62-3864-4C7A-973B-989F55DB7D72}"/>
            </a:ext>
          </a:extLst>
        </xdr:cNvPr>
        <xdr:cNvSpPr>
          <a:spLocks noChangeArrowheads="1"/>
        </xdr:cNvSpPr>
      </xdr:nvSpPr>
      <xdr:spPr bwMode="auto">
        <a:xfrm>
          <a:off x="5562600" y="113347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19050</xdr:colOff>
      <xdr:row>61</xdr:row>
      <xdr:rowOff>28575</xdr:rowOff>
    </xdr:from>
    <xdr:to>
      <xdr:col>10</xdr:col>
      <xdr:colOff>133350</xdr:colOff>
      <xdr:row>62</xdr:row>
      <xdr:rowOff>0</xdr:rowOff>
    </xdr:to>
    <xdr:sp macro="" textlink="">
      <xdr:nvSpPr>
        <xdr:cNvPr id="17" name="Oval 28">
          <a:extLst>
            <a:ext uri="{FF2B5EF4-FFF2-40B4-BE49-F238E27FC236}">
              <a16:creationId xmlns:a16="http://schemas.microsoft.com/office/drawing/2014/main" id="{24F9FA73-3663-411C-ABCE-FA94AD8D4342}"/>
            </a:ext>
          </a:extLst>
        </xdr:cNvPr>
        <xdr:cNvSpPr>
          <a:spLocks noChangeArrowheads="1"/>
        </xdr:cNvSpPr>
      </xdr:nvSpPr>
      <xdr:spPr bwMode="auto">
        <a:xfrm>
          <a:off x="6324600" y="113347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61</xdr:row>
      <xdr:rowOff>28575</xdr:rowOff>
    </xdr:from>
    <xdr:to>
      <xdr:col>11</xdr:col>
      <xdr:colOff>133350</xdr:colOff>
      <xdr:row>62</xdr:row>
      <xdr:rowOff>0</xdr:rowOff>
    </xdr:to>
    <xdr:sp macro="" textlink="">
      <xdr:nvSpPr>
        <xdr:cNvPr id="18" name="Oval 29">
          <a:extLst>
            <a:ext uri="{FF2B5EF4-FFF2-40B4-BE49-F238E27FC236}">
              <a16:creationId xmlns:a16="http://schemas.microsoft.com/office/drawing/2014/main" id="{E14BFA1B-0C3A-40A2-B0D2-3F8722398593}"/>
            </a:ext>
          </a:extLst>
        </xdr:cNvPr>
        <xdr:cNvSpPr>
          <a:spLocks noChangeArrowheads="1"/>
        </xdr:cNvSpPr>
      </xdr:nvSpPr>
      <xdr:spPr bwMode="auto">
        <a:xfrm>
          <a:off x="6829425" y="113347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19050</xdr:colOff>
      <xdr:row>61</xdr:row>
      <xdr:rowOff>28575</xdr:rowOff>
    </xdr:from>
    <xdr:to>
      <xdr:col>12</xdr:col>
      <xdr:colOff>133350</xdr:colOff>
      <xdr:row>62</xdr:row>
      <xdr:rowOff>0</xdr:rowOff>
    </xdr:to>
    <xdr:sp macro="" textlink="">
      <xdr:nvSpPr>
        <xdr:cNvPr id="19" name="Oval 30">
          <a:extLst>
            <a:ext uri="{FF2B5EF4-FFF2-40B4-BE49-F238E27FC236}">
              <a16:creationId xmlns:a16="http://schemas.microsoft.com/office/drawing/2014/main" id="{65AED477-38EA-4EDB-853C-733861E04138}"/>
            </a:ext>
          </a:extLst>
        </xdr:cNvPr>
        <xdr:cNvSpPr>
          <a:spLocks noChangeArrowheads="1"/>
        </xdr:cNvSpPr>
      </xdr:nvSpPr>
      <xdr:spPr bwMode="auto">
        <a:xfrm>
          <a:off x="7639050" y="113347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428625</xdr:colOff>
      <xdr:row>62</xdr:row>
      <xdr:rowOff>0</xdr:rowOff>
    </xdr:from>
    <xdr:to>
      <xdr:col>14</xdr:col>
      <xdr:colOff>542925</xdr:colOff>
      <xdr:row>62</xdr:row>
      <xdr:rowOff>142875</xdr:rowOff>
    </xdr:to>
    <xdr:sp macro="" textlink="">
      <xdr:nvSpPr>
        <xdr:cNvPr id="20" name="Oval 31">
          <a:extLst>
            <a:ext uri="{FF2B5EF4-FFF2-40B4-BE49-F238E27FC236}">
              <a16:creationId xmlns:a16="http://schemas.microsoft.com/office/drawing/2014/main" id="{3DE609A8-D276-4B72-AE20-8DC69DDED11D}"/>
            </a:ext>
          </a:extLst>
        </xdr:cNvPr>
        <xdr:cNvSpPr>
          <a:spLocks noChangeArrowheads="1"/>
        </xdr:cNvSpPr>
      </xdr:nvSpPr>
      <xdr:spPr bwMode="auto">
        <a:xfrm>
          <a:off x="9010650" y="114776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647700</xdr:colOff>
      <xdr:row>62</xdr:row>
      <xdr:rowOff>0</xdr:rowOff>
    </xdr:from>
    <xdr:to>
      <xdr:col>14</xdr:col>
      <xdr:colOff>762000</xdr:colOff>
      <xdr:row>62</xdr:row>
      <xdr:rowOff>142875</xdr:rowOff>
    </xdr:to>
    <xdr:sp macro="" textlink="">
      <xdr:nvSpPr>
        <xdr:cNvPr id="21" name="Oval 32">
          <a:extLst>
            <a:ext uri="{FF2B5EF4-FFF2-40B4-BE49-F238E27FC236}">
              <a16:creationId xmlns:a16="http://schemas.microsoft.com/office/drawing/2014/main" id="{DF44D43B-45C4-47FC-99A8-FACC7D96AB6C}"/>
            </a:ext>
          </a:extLst>
        </xdr:cNvPr>
        <xdr:cNvSpPr>
          <a:spLocks noChangeArrowheads="1"/>
        </xdr:cNvSpPr>
      </xdr:nvSpPr>
      <xdr:spPr bwMode="auto">
        <a:xfrm>
          <a:off x="9229725" y="114776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552450</xdr:colOff>
      <xdr:row>61</xdr:row>
      <xdr:rowOff>152400</xdr:rowOff>
    </xdr:from>
    <xdr:to>
      <xdr:col>14</xdr:col>
      <xdr:colOff>638175</xdr:colOff>
      <xdr:row>62</xdr:row>
      <xdr:rowOff>114300</xdr:rowOff>
    </xdr:to>
    <xdr:sp macro="" textlink="">
      <xdr:nvSpPr>
        <xdr:cNvPr id="22" name="Text Box 33">
          <a:extLst>
            <a:ext uri="{FF2B5EF4-FFF2-40B4-BE49-F238E27FC236}">
              <a16:creationId xmlns:a16="http://schemas.microsoft.com/office/drawing/2014/main" id="{CF3B8B3E-45B0-455E-BF22-087EC7D86E24}"/>
            </a:ext>
          </a:extLst>
        </xdr:cNvPr>
        <xdr:cNvSpPr txBox="1">
          <a:spLocks noChangeArrowheads="1"/>
        </xdr:cNvSpPr>
      </xdr:nvSpPr>
      <xdr:spPr bwMode="auto">
        <a:xfrm>
          <a:off x="9134475" y="11458575"/>
          <a:ext cx="857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11</xdr:col>
      <xdr:colOff>333375</xdr:colOff>
      <xdr:row>62</xdr:row>
      <xdr:rowOff>0</xdr:rowOff>
    </xdr:from>
    <xdr:to>
      <xdr:col>11</xdr:col>
      <xdr:colOff>447675</xdr:colOff>
      <xdr:row>62</xdr:row>
      <xdr:rowOff>142875</xdr:rowOff>
    </xdr:to>
    <xdr:sp macro="" textlink="">
      <xdr:nvSpPr>
        <xdr:cNvPr id="23" name="Oval 34">
          <a:extLst>
            <a:ext uri="{FF2B5EF4-FFF2-40B4-BE49-F238E27FC236}">
              <a16:creationId xmlns:a16="http://schemas.microsoft.com/office/drawing/2014/main" id="{556C88A8-934E-4C48-A5AB-2C5962738090}"/>
            </a:ext>
          </a:extLst>
        </xdr:cNvPr>
        <xdr:cNvSpPr>
          <a:spLocks noChangeArrowheads="1"/>
        </xdr:cNvSpPr>
      </xdr:nvSpPr>
      <xdr:spPr bwMode="auto">
        <a:xfrm>
          <a:off x="7143750" y="114776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581025</xdr:colOff>
      <xdr:row>62</xdr:row>
      <xdr:rowOff>0</xdr:rowOff>
    </xdr:from>
    <xdr:to>
      <xdr:col>11</xdr:col>
      <xdr:colOff>695325</xdr:colOff>
      <xdr:row>62</xdr:row>
      <xdr:rowOff>142875</xdr:rowOff>
    </xdr:to>
    <xdr:sp macro="" textlink="">
      <xdr:nvSpPr>
        <xdr:cNvPr id="24" name="Oval 35">
          <a:extLst>
            <a:ext uri="{FF2B5EF4-FFF2-40B4-BE49-F238E27FC236}">
              <a16:creationId xmlns:a16="http://schemas.microsoft.com/office/drawing/2014/main" id="{1F1B2E39-B2E1-4A80-9CEE-6F2E42F108EB}"/>
            </a:ext>
          </a:extLst>
        </xdr:cNvPr>
        <xdr:cNvSpPr>
          <a:spLocks noChangeArrowheads="1"/>
        </xdr:cNvSpPr>
      </xdr:nvSpPr>
      <xdr:spPr bwMode="auto">
        <a:xfrm>
          <a:off x="7391400" y="114776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0">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457200</xdr:colOff>
      <xdr:row>61</xdr:row>
      <xdr:rowOff>152400</xdr:rowOff>
    </xdr:from>
    <xdr:to>
      <xdr:col>11</xdr:col>
      <xdr:colOff>581025</xdr:colOff>
      <xdr:row>62</xdr:row>
      <xdr:rowOff>114300</xdr:rowOff>
    </xdr:to>
    <xdr:sp macro="" textlink="">
      <xdr:nvSpPr>
        <xdr:cNvPr id="25" name="Text Box 36">
          <a:extLst>
            <a:ext uri="{FF2B5EF4-FFF2-40B4-BE49-F238E27FC236}">
              <a16:creationId xmlns:a16="http://schemas.microsoft.com/office/drawing/2014/main" id="{A9808ABD-717D-4827-AE44-0E522A0D67B5}"/>
            </a:ext>
          </a:extLst>
        </xdr:cNvPr>
        <xdr:cNvSpPr txBox="1">
          <a:spLocks noChangeArrowheads="1"/>
        </xdr:cNvSpPr>
      </xdr:nvSpPr>
      <xdr:spPr bwMode="auto">
        <a:xfrm>
          <a:off x="7267575" y="11458575"/>
          <a:ext cx="123825" cy="133350"/>
        </a:xfrm>
        <a:prstGeom prst="rect">
          <a:avLst/>
        </a:prstGeom>
        <a:noFill/>
        <a:ln w="9525">
          <a:noFill/>
          <a:miter lim="800000"/>
          <a:headEnd/>
          <a:tailEnd/>
        </a:ln>
      </xdr:spPr>
      <xdr:txBody>
        <a:bodyPr vertOverflow="clip" wrap="square" lIns="0" tIns="0" rIns="0" bIns="0" anchor="t" upright="1"/>
        <a:lstStyle/>
        <a:p>
          <a:pPr algn="l" rtl="0">
            <a:defRPr sz="1000"/>
          </a:pPr>
          <a:r>
            <a:rPr lang="en-US" altLang="ja-JP" sz="1100" b="0" i="0" strike="noStrike">
              <a:solidFill>
                <a:srgbClr val="000000"/>
              </a:solidFill>
              <a:latin typeface="ＭＳ Ｐゴシック"/>
              <a:ea typeface="ＭＳ Ｐゴシック"/>
            </a:rPr>
            <a:t>×</a:t>
          </a:r>
        </a:p>
      </xdr:txBody>
    </xdr:sp>
    <xdr:clientData/>
  </xdr:twoCellAnchor>
  <xdr:twoCellAnchor>
    <xdr:from>
      <xdr:col>12</xdr:col>
      <xdr:colOff>171450</xdr:colOff>
      <xdr:row>16</xdr:row>
      <xdr:rowOff>47625</xdr:rowOff>
    </xdr:from>
    <xdr:to>
      <xdr:col>16</xdr:col>
      <xdr:colOff>390525</xdr:colOff>
      <xdr:row>18</xdr:row>
      <xdr:rowOff>161925</xdr:rowOff>
    </xdr:to>
    <xdr:sp macro="" textlink="">
      <xdr:nvSpPr>
        <xdr:cNvPr id="26" name="AutoShape 37">
          <a:extLst>
            <a:ext uri="{FF2B5EF4-FFF2-40B4-BE49-F238E27FC236}">
              <a16:creationId xmlns:a16="http://schemas.microsoft.com/office/drawing/2014/main" id="{1153269F-12BE-44BE-8413-B32EFF4D18D5}"/>
            </a:ext>
          </a:extLst>
        </xdr:cNvPr>
        <xdr:cNvSpPr>
          <a:spLocks noChangeArrowheads="1"/>
        </xdr:cNvSpPr>
      </xdr:nvSpPr>
      <xdr:spPr bwMode="auto">
        <a:xfrm>
          <a:off x="7791450" y="2819400"/>
          <a:ext cx="2457450" cy="45720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180975</xdr:colOff>
      <xdr:row>56</xdr:row>
      <xdr:rowOff>28575</xdr:rowOff>
    </xdr:from>
    <xdr:to>
      <xdr:col>16</xdr:col>
      <xdr:colOff>400050</xdr:colOff>
      <xdr:row>58</xdr:row>
      <xdr:rowOff>142875</xdr:rowOff>
    </xdr:to>
    <xdr:sp macro="" textlink="">
      <xdr:nvSpPr>
        <xdr:cNvPr id="27" name="AutoShape 38">
          <a:extLst>
            <a:ext uri="{FF2B5EF4-FFF2-40B4-BE49-F238E27FC236}">
              <a16:creationId xmlns:a16="http://schemas.microsoft.com/office/drawing/2014/main" id="{BAA3C9BE-0C80-47A4-8AA7-8300C12379FE}"/>
            </a:ext>
          </a:extLst>
        </xdr:cNvPr>
        <xdr:cNvSpPr>
          <a:spLocks noChangeArrowheads="1"/>
        </xdr:cNvSpPr>
      </xdr:nvSpPr>
      <xdr:spPr bwMode="auto">
        <a:xfrm>
          <a:off x="7800975" y="10525125"/>
          <a:ext cx="2457450" cy="45720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22</xdr:col>
      <xdr:colOff>790575</xdr:colOff>
      <xdr:row>84</xdr:row>
      <xdr:rowOff>95250</xdr:rowOff>
    </xdr:from>
    <xdr:to>
      <xdr:col>24</xdr:col>
      <xdr:colOff>485775</xdr:colOff>
      <xdr:row>89</xdr:row>
      <xdr:rowOff>0</xdr:rowOff>
    </xdr:to>
    <xdr:pic>
      <xdr:nvPicPr>
        <xdr:cNvPr id="2" name="図 15" descr="トラスト角印.jpg">
          <a:extLst>
            <a:ext uri="{FF2B5EF4-FFF2-40B4-BE49-F238E27FC236}">
              <a16:creationId xmlns:a16="http://schemas.microsoft.com/office/drawing/2014/main" id="{D0A77046-6397-4525-B382-4C973235BB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0" y="17449800"/>
          <a:ext cx="7334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47625</xdr:colOff>
      <xdr:row>4</xdr:row>
      <xdr:rowOff>152400</xdr:rowOff>
    </xdr:from>
    <xdr:to>
      <xdr:col>24</xdr:col>
      <xdr:colOff>981075</xdr:colOff>
      <xdr:row>8</xdr:row>
      <xdr:rowOff>314325</xdr:rowOff>
    </xdr:to>
    <xdr:pic>
      <xdr:nvPicPr>
        <xdr:cNvPr id="3" name="図 14" descr="トラスト角印.jpg">
          <a:extLst>
            <a:ext uri="{FF2B5EF4-FFF2-40B4-BE49-F238E27FC236}">
              <a16:creationId xmlns:a16="http://schemas.microsoft.com/office/drawing/2014/main" id="{9C92F093-ADCA-4C0E-AA74-0F6E53D46A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25275" y="838200"/>
          <a:ext cx="93345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819150</xdr:colOff>
      <xdr:row>31</xdr:row>
      <xdr:rowOff>95250</xdr:rowOff>
    </xdr:from>
    <xdr:to>
      <xdr:col>24</xdr:col>
      <xdr:colOff>514350</xdr:colOff>
      <xdr:row>36</xdr:row>
      <xdr:rowOff>0</xdr:rowOff>
    </xdr:to>
    <xdr:pic>
      <xdr:nvPicPr>
        <xdr:cNvPr id="4" name="図 13" descr="トラスト角印.jpg">
          <a:extLst>
            <a:ext uri="{FF2B5EF4-FFF2-40B4-BE49-F238E27FC236}">
              <a16:creationId xmlns:a16="http://schemas.microsoft.com/office/drawing/2014/main" id="{87F07700-ED4D-499C-AB8B-9315C1CB73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58575" y="6619875"/>
          <a:ext cx="7334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57150</xdr:colOff>
      <xdr:row>58</xdr:row>
      <xdr:rowOff>28575</xdr:rowOff>
    </xdr:from>
    <xdr:to>
      <xdr:col>24</xdr:col>
      <xdr:colOff>990600</xdr:colOff>
      <xdr:row>61</xdr:row>
      <xdr:rowOff>361950</xdr:rowOff>
    </xdr:to>
    <xdr:pic>
      <xdr:nvPicPr>
        <xdr:cNvPr id="5" name="図 9" descr="トラスト角印.jpg">
          <a:extLst>
            <a:ext uri="{FF2B5EF4-FFF2-40B4-BE49-F238E27FC236}">
              <a16:creationId xmlns:a16="http://schemas.microsoft.com/office/drawing/2014/main" id="{1F1486BD-4AA8-49DD-9D37-AC643299179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34800" y="11753850"/>
          <a:ext cx="93345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638175</xdr:colOff>
      <xdr:row>83</xdr:row>
      <xdr:rowOff>9525</xdr:rowOff>
    </xdr:from>
    <xdr:to>
      <xdr:col>26</xdr:col>
      <xdr:colOff>400050</xdr:colOff>
      <xdr:row>89</xdr:row>
      <xdr:rowOff>76200</xdr:rowOff>
    </xdr:to>
    <xdr:sp macro="" textlink="">
      <xdr:nvSpPr>
        <xdr:cNvPr id="6" name="Text Box 8">
          <a:extLst>
            <a:ext uri="{FF2B5EF4-FFF2-40B4-BE49-F238E27FC236}">
              <a16:creationId xmlns:a16="http://schemas.microsoft.com/office/drawing/2014/main" id="{71153747-245D-42EB-A084-5C2379451F7D}"/>
            </a:ext>
          </a:extLst>
        </xdr:cNvPr>
        <xdr:cNvSpPr txBox="1">
          <a:spLocks noChangeArrowheads="1"/>
        </xdr:cNvSpPr>
      </xdr:nvSpPr>
      <xdr:spPr bwMode="auto">
        <a:xfrm>
          <a:off x="10163175" y="17192625"/>
          <a:ext cx="3457575" cy="106680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lnSpc>
              <a:spcPts val="1100"/>
            </a:lnSpc>
          </a:pPr>
          <a:r>
            <a:rPr lang="ja-JP" altLang="en-US" sz="900" b="0" i="0">
              <a:latin typeface="ＭＳ Ｐゴシック" pitchFamily="50" charset="-128"/>
              <a:ea typeface="ＭＳ Ｐゴシック" pitchFamily="50" charset="-128"/>
              <a:cs typeface="+mn-cs"/>
            </a:rPr>
            <a:t>    </a:t>
          </a:r>
          <a:r>
            <a:rPr lang="ja-JP" altLang="en-US" sz="900" b="1" i="0">
              <a:latin typeface="ＭＳ Ｐゴシック" pitchFamily="50" charset="-128"/>
              <a:ea typeface="ＭＳ Ｐゴシック" pitchFamily="50" charset="-128"/>
              <a:cs typeface="+mn-cs"/>
            </a:rPr>
            <a:t>株式会社トラスト</a:t>
          </a:r>
          <a:endParaRPr lang="ja-JP" altLang="en-US" sz="900" b="0" i="0">
            <a:latin typeface="ＭＳ Ｐゴシック" pitchFamily="50" charset="-128"/>
            <a:ea typeface="ＭＳ Ｐゴシック" pitchFamily="50" charset="-128"/>
            <a:cs typeface="+mn-cs"/>
          </a:endParaRPr>
        </a:p>
        <a:p>
          <a:pPr rtl="0"/>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a:p>
          <a:pPr algn="l" rtl="0">
            <a:lnSpc>
              <a:spcPts val="1100"/>
            </a:lnSpc>
            <a:defRPr sz="1000"/>
          </a:pPr>
          <a:endParaRPr lang="en-US" altLang="ja-JP" sz="900" b="0" i="0" strike="noStrike">
            <a:solidFill>
              <a:srgbClr val="000000"/>
            </a:solidFill>
            <a:latin typeface="ＭＳ Ｐゴシック"/>
            <a:ea typeface="ＭＳ Ｐゴシック"/>
          </a:endParaRPr>
        </a:p>
      </xdr:txBody>
    </xdr:sp>
    <xdr:clientData/>
  </xdr:twoCellAnchor>
  <xdr:twoCellAnchor>
    <xdr:from>
      <xdr:col>21</xdr:col>
      <xdr:colOff>666750</xdr:colOff>
      <xdr:row>56</xdr:row>
      <xdr:rowOff>19049</xdr:rowOff>
    </xdr:from>
    <xdr:to>
      <xdr:col>27</xdr:col>
      <xdr:colOff>19050</xdr:colOff>
      <xdr:row>61</xdr:row>
      <xdr:rowOff>409574</xdr:rowOff>
    </xdr:to>
    <xdr:sp macro="" textlink="">
      <xdr:nvSpPr>
        <xdr:cNvPr id="7" name="Text Box 7">
          <a:extLst>
            <a:ext uri="{FF2B5EF4-FFF2-40B4-BE49-F238E27FC236}">
              <a16:creationId xmlns:a16="http://schemas.microsoft.com/office/drawing/2014/main" id="{F507F1D6-E0AC-40AF-808D-C08A89B49914}"/>
            </a:ext>
          </a:extLst>
        </xdr:cNvPr>
        <xdr:cNvSpPr txBox="1">
          <a:spLocks noChangeArrowheads="1"/>
        </xdr:cNvSpPr>
      </xdr:nvSpPr>
      <xdr:spPr bwMode="auto">
        <a:xfrm>
          <a:off x="10191750" y="11401424"/>
          <a:ext cx="3476625" cy="1323975"/>
        </a:xfrm>
        <a:prstGeom prst="rect">
          <a:avLst/>
        </a:prstGeom>
        <a:noFill/>
        <a:ln w="9525">
          <a:noFill/>
          <a:miter lim="800000"/>
          <a:headEnd/>
          <a:tailEnd/>
        </a:ln>
      </xdr:spPr>
      <xdr:txBody>
        <a:bodyPr vertOverflow="clip" wrap="square" lIns="27432" tIns="18288" rIns="0" bIns="0" anchor="t" upright="1"/>
        <a:lstStyle/>
        <a:p>
          <a:pPr rtl="0"/>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541-0046</a:t>
          </a:r>
          <a:endParaRPr lang="ja-JP">
            <a:latin typeface="ＭＳ Ｐゴシック" pitchFamily="50" charset="-128"/>
            <a:ea typeface="ＭＳ Ｐゴシック" pitchFamily="50" charset="-128"/>
          </a:endParaRPr>
        </a:p>
        <a:p>
          <a:pPr rtl="0">
            <a:lnSpc>
              <a:spcPts val="1300"/>
            </a:lnSpc>
          </a:pPr>
          <a:r>
            <a:rPr lang="ja-JP" altLang="en-US" sz="1100" b="0" i="0">
              <a:latin typeface="ＭＳ Ｐゴシック" pitchFamily="50" charset="-128"/>
              <a:ea typeface="ＭＳ Ｐゴシック" pitchFamily="50" charset="-128"/>
              <a:cs typeface="+mn-cs"/>
            </a:rPr>
            <a:t>大阪府大阪市中央区平野町２丁目４</a:t>
          </a:r>
          <a:r>
            <a:rPr lang="en-US" sz="1100" b="0" i="0">
              <a:latin typeface="ＭＳ Ｐゴシック" pitchFamily="50" charset="-128"/>
              <a:ea typeface="ＭＳ Ｐゴシック" pitchFamily="50" charset="-128"/>
              <a:cs typeface="+mn-cs"/>
            </a:rPr>
            <a:t>-</a:t>
          </a:r>
          <a:r>
            <a:rPr lang="ja-JP" altLang="en-US" sz="1100" b="0" i="0">
              <a:latin typeface="ＭＳ Ｐゴシック" pitchFamily="50" charset="-128"/>
              <a:ea typeface="ＭＳ Ｐゴシック" pitchFamily="50" charset="-128"/>
              <a:cs typeface="+mn-cs"/>
            </a:rPr>
            <a:t>１１</a:t>
          </a:r>
          <a:endParaRPr lang="en-US" sz="1100" b="0" i="0">
            <a:latin typeface="ＭＳ Ｐゴシック" pitchFamily="50" charset="-128"/>
            <a:ea typeface="ＭＳ Ｐゴシック" pitchFamily="50" charset="-128"/>
            <a:cs typeface="+mn-cs"/>
          </a:endParaRPr>
        </a:p>
        <a:p>
          <a:pPr rtl="0"/>
          <a:r>
            <a:rPr lang="ja-JP" altLang="en-US" sz="1100" b="0" i="0">
              <a:latin typeface="ＭＳ Ｐゴシック" pitchFamily="50" charset="-128"/>
              <a:ea typeface="ＭＳ Ｐゴシック" pitchFamily="50" charset="-128"/>
              <a:cs typeface="+mn-cs"/>
            </a:rPr>
            <a:t>　　　　　　　　　　　　</a:t>
          </a:r>
          <a:r>
            <a:rPr lang="en-US" altLang="ja-JP" sz="1100" b="0" i="0">
              <a:latin typeface="ＭＳ Ｐゴシック" pitchFamily="50" charset="-128"/>
              <a:ea typeface="ＭＳ Ｐゴシック" pitchFamily="50" charset="-128"/>
              <a:cs typeface="+mn-cs"/>
            </a:rPr>
            <a:t>KCI</a:t>
          </a:r>
          <a:r>
            <a:rPr lang="ja-JP" altLang="en-US" sz="1100" b="0" i="0">
              <a:latin typeface="ＭＳ Ｐゴシック" pitchFamily="50" charset="-128"/>
              <a:ea typeface="ＭＳ Ｐゴシック" pitchFamily="50" charset="-128"/>
              <a:cs typeface="+mn-cs"/>
            </a:rPr>
            <a:t>平野町ビル８階</a:t>
          </a:r>
        </a:p>
        <a:p>
          <a:pPr rtl="0">
            <a:lnSpc>
              <a:spcPts val="1500"/>
            </a:lnSpc>
          </a:pPr>
          <a:r>
            <a:rPr lang="ja-JP" altLang="en-US" sz="1100" b="0" i="0">
              <a:latin typeface="+mn-lt"/>
              <a:ea typeface="+mn-ea"/>
              <a:cs typeface="+mn-cs"/>
            </a:rPr>
            <a:t>    </a:t>
          </a:r>
          <a:r>
            <a:rPr lang="ja-JP" altLang="en-US" sz="1200" b="1" i="0">
              <a:latin typeface="+mn-lt"/>
              <a:ea typeface="+mn-ea"/>
              <a:cs typeface="+mn-cs"/>
            </a:rPr>
            <a:t>株式会社トラスト</a:t>
          </a:r>
          <a:endParaRPr lang="ja-JP" altLang="en-US" sz="1100" b="0" i="0">
            <a:latin typeface="ＭＳ Ｐゴシック" pitchFamily="50" charset="-128"/>
            <a:ea typeface="ＭＳ Ｐゴシック" pitchFamily="50" charset="-128"/>
            <a:cs typeface="+mn-cs"/>
          </a:endParaRPr>
        </a:p>
        <a:p>
          <a:pPr rtl="0">
            <a:lnSpc>
              <a:spcPts val="1300"/>
            </a:lnSpc>
          </a:pPr>
          <a:r>
            <a:rPr lang="ja-JP" altLang="en-US" sz="1100" b="0" i="0">
              <a:latin typeface="ＭＳ Ｐゴシック" pitchFamily="50" charset="-128"/>
              <a:ea typeface="ＭＳ Ｐゴシック" pitchFamily="50" charset="-128"/>
              <a:cs typeface="+mn-cs"/>
            </a:rPr>
            <a:t>      電話　</a:t>
          </a:r>
          <a:r>
            <a:rPr lang="en-US" sz="1100" b="0" i="0">
              <a:latin typeface="ＭＳ Ｐゴシック" pitchFamily="50" charset="-128"/>
              <a:ea typeface="ＭＳ Ｐゴシック" pitchFamily="50" charset="-128"/>
              <a:cs typeface="+mn-cs"/>
            </a:rPr>
            <a:t>06</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6208</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260</a:t>
          </a:r>
          <a:r>
            <a:rPr lang="en-US" altLang="ja-JP" sz="1100" b="0" i="0">
              <a:latin typeface="ＭＳ Ｐゴシック" pitchFamily="50" charset="-128"/>
              <a:ea typeface="ＭＳ Ｐゴシック" pitchFamily="50" charset="-128"/>
              <a:cs typeface="+mn-cs"/>
            </a:rPr>
            <a:t>7</a:t>
          </a:r>
          <a:r>
            <a:rPr lang="ja-JP" altLang="en-US" sz="1100" b="0" i="0">
              <a:latin typeface="ＭＳ Ｐゴシック" pitchFamily="50" charset="-128"/>
              <a:ea typeface="ＭＳ Ｐゴシック" pitchFamily="50" charset="-128"/>
              <a:cs typeface="+mn-cs"/>
            </a:rPr>
            <a:t>　（代表）</a:t>
          </a:r>
          <a:endParaRPr lang="ja-JP" sz="1100">
            <a:latin typeface="ＭＳ Ｐゴシック" pitchFamily="50" charset="-128"/>
            <a:ea typeface="ＭＳ Ｐゴシック" pitchFamily="50" charset="-128"/>
          </a:endParaRPr>
        </a:p>
        <a:p>
          <a:pPr rtl="0">
            <a:lnSpc>
              <a:spcPts val="1300"/>
            </a:lnSpc>
          </a:pPr>
          <a:r>
            <a:rPr lang="ja-JP" altLang="en-US" sz="1100" b="0" i="0">
              <a:latin typeface="ＭＳ Ｐゴシック" pitchFamily="50" charset="-128"/>
              <a:ea typeface="ＭＳ Ｐゴシック" pitchFamily="50" charset="-128"/>
              <a:cs typeface="+mn-cs"/>
            </a:rPr>
            <a:t>      ＦＡＸ　</a:t>
          </a:r>
          <a:r>
            <a:rPr lang="en-US" sz="1100" b="0" i="0">
              <a:latin typeface="ＭＳ Ｐゴシック" pitchFamily="50" charset="-128"/>
              <a:ea typeface="ＭＳ Ｐゴシック" pitchFamily="50" charset="-128"/>
              <a:cs typeface="+mn-cs"/>
            </a:rPr>
            <a:t>06</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6208</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2610</a:t>
          </a:r>
          <a:endParaRPr lang="ja-JP" sz="1100">
            <a:latin typeface="ＭＳ Ｐゴシック" pitchFamily="50" charset="-128"/>
            <a:ea typeface="ＭＳ Ｐゴシック" pitchFamily="50" charset="-128"/>
          </a:endParaRPr>
        </a:p>
      </xdr:txBody>
    </xdr:sp>
    <xdr:clientData/>
  </xdr:twoCellAnchor>
  <xdr:twoCellAnchor>
    <xdr:from>
      <xdr:col>21</xdr:col>
      <xdr:colOff>666750</xdr:colOff>
      <xdr:row>30</xdr:row>
      <xdr:rowOff>9525</xdr:rowOff>
    </xdr:from>
    <xdr:to>
      <xdr:col>27</xdr:col>
      <xdr:colOff>0</xdr:colOff>
      <xdr:row>36</xdr:row>
      <xdr:rowOff>104775</xdr:rowOff>
    </xdr:to>
    <xdr:sp macro="" textlink="">
      <xdr:nvSpPr>
        <xdr:cNvPr id="8" name="Text Box 6">
          <a:extLst>
            <a:ext uri="{FF2B5EF4-FFF2-40B4-BE49-F238E27FC236}">
              <a16:creationId xmlns:a16="http://schemas.microsoft.com/office/drawing/2014/main" id="{56501165-2215-4D88-A11C-6B26DB564963}"/>
            </a:ext>
          </a:extLst>
        </xdr:cNvPr>
        <xdr:cNvSpPr txBox="1">
          <a:spLocks noChangeArrowheads="1"/>
        </xdr:cNvSpPr>
      </xdr:nvSpPr>
      <xdr:spPr bwMode="auto">
        <a:xfrm>
          <a:off x="10191750" y="6362700"/>
          <a:ext cx="3457575" cy="1095375"/>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9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　トラスト</a:t>
          </a:r>
          <a:endParaRPr lang="ja-JP" altLang="en-US" sz="11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a:p>
          <a:pPr algn="l" rtl="0">
            <a:defRPr sz="1000"/>
          </a:pPr>
          <a:endParaRPr lang="en-US" altLang="ja-JP" sz="900" b="0" i="0" strike="noStrike">
            <a:solidFill>
              <a:srgbClr val="000000"/>
            </a:solidFill>
            <a:latin typeface="ＭＳ Ｐゴシック"/>
            <a:ea typeface="ＭＳ Ｐゴシック"/>
          </a:endParaRPr>
        </a:p>
      </xdr:txBody>
    </xdr:sp>
    <xdr:clientData/>
  </xdr:twoCellAnchor>
  <xdr:twoCellAnchor>
    <xdr:from>
      <xdr:col>21</xdr:col>
      <xdr:colOff>657225</xdr:colOff>
      <xdr:row>2</xdr:row>
      <xdr:rowOff>161925</xdr:rowOff>
    </xdr:from>
    <xdr:to>
      <xdr:col>27</xdr:col>
      <xdr:colOff>9525</xdr:colOff>
      <xdr:row>8</xdr:row>
      <xdr:rowOff>352425</xdr:rowOff>
    </xdr:to>
    <xdr:sp macro="" textlink="">
      <xdr:nvSpPr>
        <xdr:cNvPr id="9" name="Text Box 2">
          <a:extLst>
            <a:ext uri="{FF2B5EF4-FFF2-40B4-BE49-F238E27FC236}">
              <a16:creationId xmlns:a16="http://schemas.microsoft.com/office/drawing/2014/main" id="{ED52E832-C43F-4B4F-A01E-B29AAE06D1FB}"/>
            </a:ext>
          </a:extLst>
        </xdr:cNvPr>
        <xdr:cNvSpPr txBox="1">
          <a:spLocks noChangeArrowheads="1"/>
        </xdr:cNvSpPr>
      </xdr:nvSpPr>
      <xdr:spPr bwMode="auto">
        <a:xfrm>
          <a:off x="10182225" y="504825"/>
          <a:ext cx="3476625" cy="1295400"/>
        </a:xfrm>
        <a:prstGeom prst="rect">
          <a:avLst/>
        </a:prstGeom>
        <a:noFill/>
        <a:ln w="9525">
          <a:noFill/>
          <a:miter lim="800000"/>
          <a:headEnd/>
          <a:tailEnd/>
        </a:ln>
      </xdr:spPr>
      <xdr:txBody>
        <a:bodyPr vertOverflow="clip" wrap="square" lIns="27432" tIns="18288" rIns="0" bIns="0" anchor="t" upright="1"/>
        <a:lstStyle/>
        <a:p>
          <a:pPr rtl="0"/>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541-0046</a:t>
          </a:r>
          <a:endParaRPr lang="ja-JP">
            <a:latin typeface="ＭＳ Ｐゴシック" pitchFamily="50" charset="-128"/>
            <a:ea typeface="ＭＳ Ｐゴシック" pitchFamily="50" charset="-128"/>
          </a:endParaRPr>
        </a:p>
        <a:p>
          <a:pPr rtl="0">
            <a:lnSpc>
              <a:spcPts val="1300"/>
            </a:lnSpc>
          </a:pPr>
          <a:r>
            <a:rPr lang="ja-JP" altLang="en-US" sz="1100" b="0" i="0">
              <a:latin typeface="ＭＳ Ｐゴシック" pitchFamily="50" charset="-128"/>
              <a:ea typeface="ＭＳ Ｐゴシック" pitchFamily="50" charset="-128"/>
              <a:cs typeface="+mn-cs"/>
            </a:rPr>
            <a:t>大阪府大阪市中央区平野町２丁目４</a:t>
          </a:r>
          <a:r>
            <a:rPr lang="en-US" sz="1100" b="0" i="0">
              <a:latin typeface="ＭＳ Ｐゴシック" pitchFamily="50" charset="-128"/>
              <a:ea typeface="ＭＳ Ｐゴシック" pitchFamily="50" charset="-128"/>
              <a:cs typeface="+mn-cs"/>
            </a:rPr>
            <a:t>-</a:t>
          </a:r>
          <a:r>
            <a:rPr lang="ja-JP" altLang="en-US" sz="1100" b="0" i="0">
              <a:latin typeface="ＭＳ Ｐゴシック" pitchFamily="50" charset="-128"/>
              <a:ea typeface="ＭＳ Ｐゴシック" pitchFamily="50" charset="-128"/>
              <a:cs typeface="+mn-cs"/>
            </a:rPr>
            <a:t>１１</a:t>
          </a:r>
          <a:endParaRPr lang="en-US" sz="1100" b="0" i="0">
            <a:latin typeface="ＭＳ Ｐゴシック" pitchFamily="50" charset="-128"/>
            <a:ea typeface="ＭＳ Ｐゴシック" pitchFamily="50" charset="-128"/>
            <a:cs typeface="+mn-cs"/>
          </a:endParaRPr>
        </a:p>
        <a:p>
          <a:pPr rtl="0"/>
          <a:r>
            <a:rPr lang="ja-JP" altLang="en-US" sz="1100" b="0" i="0">
              <a:latin typeface="ＭＳ Ｐゴシック" pitchFamily="50" charset="-128"/>
              <a:ea typeface="ＭＳ Ｐゴシック" pitchFamily="50" charset="-128"/>
              <a:cs typeface="+mn-cs"/>
            </a:rPr>
            <a:t>　　　　　　　　　　　　</a:t>
          </a:r>
          <a:r>
            <a:rPr lang="en-US" altLang="ja-JP" sz="1100" b="0" i="0">
              <a:latin typeface="ＭＳ Ｐゴシック" pitchFamily="50" charset="-128"/>
              <a:ea typeface="ＭＳ Ｐゴシック" pitchFamily="50" charset="-128"/>
              <a:cs typeface="+mn-cs"/>
            </a:rPr>
            <a:t>KCI</a:t>
          </a:r>
          <a:r>
            <a:rPr lang="ja-JP" altLang="en-US" sz="1100" b="0" i="0">
              <a:latin typeface="ＭＳ Ｐゴシック" pitchFamily="50" charset="-128"/>
              <a:ea typeface="ＭＳ Ｐゴシック" pitchFamily="50" charset="-128"/>
              <a:cs typeface="+mn-cs"/>
            </a:rPr>
            <a:t>平野町ビル８階</a:t>
          </a:r>
        </a:p>
        <a:p>
          <a:pPr rtl="0">
            <a:lnSpc>
              <a:spcPts val="1700"/>
            </a:lnSpc>
          </a:pPr>
          <a:r>
            <a:rPr lang="ja-JP" altLang="en-US" sz="1100" b="0" i="0">
              <a:latin typeface="+mn-lt"/>
              <a:ea typeface="+mn-ea"/>
              <a:cs typeface="+mn-cs"/>
            </a:rPr>
            <a:t>   　 </a:t>
          </a:r>
          <a:r>
            <a:rPr lang="ja-JP" altLang="en-US" sz="1400" b="1" i="0">
              <a:latin typeface="ＭＳ Ｐゴシック" pitchFamily="50" charset="-128"/>
              <a:ea typeface="ＭＳ Ｐゴシック" pitchFamily="50" charset="-128"/>
              <a:cs typeface="+mn-cs"/>
            </a:rPr>
            <a:t>株式会社　トラスト</a:t>
          </a:r>
          <a:endParaRPr lang="ja-JP" altLang="en-US" sz="1400" b="0" i="0">
            <a:latin typeface="ＭＳ Ｐゴシック" pitchFamily="50" charset="-128"/>
            <a:ea typeface="ＭＳ Ｐゴシック" pitchFamily="50" charset="-128"/>
            <a:cs typeface="+mn-cs"/>
          </a:endParaRPr>
        </a:p>
        <a:p>
          <a:pPr rtl="0">
            <a:lnSpc>
              <a:spcPts val="1300"/>
            </a:lnSpc>
          </a:pPr>
          <a:r>
            <a:rPr lang="ja-JP" altLang="en-US" sz="1100" b="0" i="0">
              <a:latin typeface="ＭＳ Ｐゴシック" pitchFamily="50" charset="-128"/>
              <a:ea typeface="ＭＳ Ｐゴシック" pitchFamily="50" charset="-128"/>
              <a:cs typeface="+mn-cs"/>
            </a:rPr>
            <a:t>      電話　</a:t>
          </a:r>
          <a:r>
            <a:rPr lang="en-US" sz="1100" b="0" i="0">
              <a:latin typeface="ＭＳ Ｐゴシック" pitchFamily="50" charset="-128"/>
              <a:ea typeface="ＭＳ Ｐゴシック" pitchFamily="50" charset="-128"/>
              <a:cs typeface="+mn-cs"/>
            </a:rPr>
            <a:t>06</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6208</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260</a:t>
          </a:r>
          <a:r>
            <a:rPr lang="en-US" altLang="ja-JP" sz="1100" b="0" i="0">
              <a:latin typeface="ＭＳ Ｐゴシック" pitchFamily="50" charset="-128"/>
              <a:ea typeface="ＭＳ Ｐゴシック" pitchFamily="50" charset="-128"/>
              <a:cs typeface="+mn-cs"/>
            </a:rPr>
            <a:t>7</a:t>
          </a:r>
          <a:r>
            <a:rPr lang="ja-JP" altLang="en-US" sz="1100" b="0" i="0">
              <a:latin typeface="ＭＳ Ｐゴシック" pitchFamily="50" charset="-128"/>
              <a:ea typeface="ＭＳ Ｐゴシック" pitchFamily="50" charset="-128"/>
              <a:cs typeface="+mn-cs"/>
            </a:rPr>
            <a:t>　（代表）</a:t>
          </a:r>
          <a:endParaRPr lang="ja-JP" sz="1100">
            <a:latin typeface="ＭＳ Ｐゴシック" pitchFamily="50" charset="-128"/>
            <a:ea typeface="ＭＳ Ｐゴシック" pitchFamily="50" charset="-128"/>
          </a:endParaRPr>
        </a:p>
        <a:p>
          <a:pPr rtl="0">
            <a:lnSpc>
              <a:spcPts val="1300"/>
            </a:lnSpc>
          </a:pPr>
          <a:r>
            <a:rPr lang="ja-JP" altLang="en-US" sz="1100" b="0" i="0">
              <a:latin typeface="ＭＳ Ｐゴシック" pitchFamily="50" charset="-128"/>
              <a:ea typeface="ＭＳ Ｐゴシック" pitchFamily="50" charset="-128"/>
              <a:cs typeface="+mn-cs"/>
            </a:rPr>
            <a:t>      ＦＡＸ　</a:t>
          </a:r>
          <a:r>
            <a:rPr lang="en-US" sz="1100" b="0" i="0">
              <a:latin typeface="ＭＳ Ｐゴシック" pitchFamily="50" charset="-128"/>
              <a:ea typeface="ＭＳ Ｐゴシック" pitchFamily="50" charset="-128"/>
              <a:cs typeface="+mn-cs"/>
            </a:rPr>
            <a:t>06</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6208</a:t>
          </a:r>
          <a:r>
            <a:rPr lang="ja-JP" altLang="en-US" sz="1100" b="0" i="0">
              <a:latin typeface="ＭＳ Ｐゴシック" pitchFamily="50" charset="-128"/>
              <a:ea typeface="ＭＳ Ｐゴシック" pitchFamily="50" charset="-128"/>
              <a:cs typeface="+mn-cs"/>
            </a:rPr>
            <a:t>）</a:t>
          </a:r>
          <a:r>
            <a:rPr lang="en-US" sz="1100" b="0" i="0">
              <a:latin typeface="ＭＳ Ｐゴシック" pitchFamily="50" charset="-128"/>
              <a:ea typeface="ＭＳ Ｐゴシック" pitchFamily="50" charset="-128"/>
              <a:cs typeface="+mn-cs"/>
            </a:rPr>
            <a:t>2610</a:t>
          </a:r>
          <a:endParaRPr lang="ja-JP" sz="1100">
            <a:latin typeface="ＭＳ Ｐゴシック" pitchFamily="50" charset="-128"/>
            <a:ea typeface="ＭＳ Ｐゴシック"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352425</xdr:colOff>
      <xdr:row>1</xdr:row>
      <xdr:rowOff>28575</xdr:rowOff>
    </xdr:from>
    <xdr:to>
      <xdr:col>15</xdr:col>
      <xdr:colOff>266700</xdr:colOff>
      <xdr:row>5</xdr:row>
      <xdr:rowOff>142875</xdr:rowOff>
    </xdr:to>
    <xdr:pic>
      <xdr:nvPicPr>
        <xdr:cNvPr id="2" name="Picture 190" descr="clever-inei">
          <a:extLst>
            <a:ext uri="{FF2B5EF4-FFF2-40B4-BE49-F238E27FC236}">
              <a16:creationId xmlns:a16="http://schemas.microsoft.com/office/drawing/2014/main" id="{21ABB3D4-C72C-44BA-A2F0-E810DF68949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743950" y="200025"/>
          <a:ext cx="8001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800100</xdr:colOff>
      <xdr:row>1</xdr:row>
      <xdr:rowOff>28574</xdr:rowOff>
    </xdr:from>
    <xdr:to>
      <xdr:col>16</xdr:col>
      <xdr:colOff>438150</xdr:colOff>
      <xdr:row>7</xdr:row>
      <xdr:rowOff>47624</xdr:rowOff>
    </xdr:to>
    <xdr:sp macro="" textlink="">
      <xdr:nvSpPr>
        <xdr:cNvPr id="3" name="Text Box 7">
          <a:extLst>
            <a:ext uri="{FF2B5EF4-FFF2-40B4-BE49-F238E27FC236}">
              <a16:creationId xmlns:a16="http://schemas.microsoft.com/office/drawing/2014/main" id="{3CD87BB0-6DB3-448B-9706-72661F74C0D0}"/>
            </a:ext>
          </a:extLst>
        </xdr:cNvPr>
        <xdr:cNvSpPr txBox="1">
          <a:spLocks noChangeArrowheads="1"/>
        </xdr:cNvSpPr>
      </xdr:nvSpPr>
      <xdr:spPr bwMode="auto">
        <a:xfrm>
          <a:off x="7610475" y="200024"/>
          <a:ext cx="2419350" cy="1114425"/>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lnSpc>
              <a:spcPts val="1500"/>
            </a:lnSpc>
          </a:pPr>
          <a:r>
            <a:rPr lang="ja-JP" altLang="en-US" sz="1200" b="0" i="0">
              <a:latin typeface="ＭＳ Ｐゴシック" pitchFamily="50" charset="-128"/>
              <a:ea typeface="ＭＳ Ｐゴシック" pitchFamily="50" charset="-128"/>
              <a:cs typeface="+mn-cs"/>
            </a:rPr>
            <a:t>    </a:t>
          </a:r>
          <a:r>
            <a:rPr lang="ja-JP" altLang="en-US" sz="1200" b="1" i="0">
              <a:latin typeface="ＭＳ Ｐゴシック" pitchFamily="50" charset="-128"/>
              <a:ea typeface="ＭＳ Ｐゴシック" pitchFamily="50" charset="-128"/>
              <a:cs typeface="+mn-cs"/>
            </a:rPr>
            <a:t>株式会社クレバーセレクト</a:t>
          </a:r>
          <a:endParaRPr lang="ja-JP" alt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2600</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twoCellAnchor editAs="oneCell">
    <xdr:from>
      <xdr:col>14</xdr:col>
      <xdr:colOff>352425</xdr:colOff>
      <xdr:row>43</xdr:row>
      <xdr:rowOff>47625</xdr:rowOff>
    </xdr:from>
    <xdr:to>
      <xdr:col>15</xdr:col>
      <xdr:colOff>266700</xdr:colOff>
      <xdr:row>47</xdr:row>
      <xdr:rowOff>161925</xdr:rowOff>
    </xdr:to>
    <xdr:pic>
      <xdr:nvPicPr>
        <xdr:cNvPr id="4" name="Picture 191" descr="clever-inei">
          <a:extLst>
            <a:ext uri="{FF2B5EF4-FFF2-40B4-BE49-F238E27FC236}">
              <a16:creationId xmlns:a16="http://schemas.microsoft.com/office/drawing/2014/main" id="{F9417F67-87BA-4CD8-86C3-E3EF2B95E15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743950" y="7686675"/>
          <a:ext cx="8001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781050</xdr:colOff>
      <xdr:row>43</xdr:row>
      <xdr:rowOff>28575</xdr:rowOff>
    </xdr:from>
    <xdr:to>
      <xdr:col>16</xdr:col>
      <xdr:colOff>419100</xdr:colOff>
      <xdr:row>49</xdr:row>
      <xdr:rowOff>38100</xdr:rowOff>
    </xdr:to>
    <xdr:sp macro="" textlink="">
      <xdr:nvSpPr>
        <xdr:cNvPr id="5" name="Text Box 8">
          <a:extLst>
            <a:ext uri="{FF2B5EF4-FFF2-40B4-BE49-F238E27FC236}">
              <a16:creationId xmlns:a16="http://schemas.microsoft.com/office/drawing/2014/main" id="{7F209CD3-9C39-428A-8808-47D42CCCB855}"/>
            </a:ext>
          </a:extLst>
        </xdr:cNvPr>
        <xdr:cNvSpPr txBox="1">
          <a:spLocks noChangeArrowheads="1"/>
        </xdr:cNvSpPr>
      </xdr:nvSpPr>
      <xdr:spPr bwMode="auto">
        <a:xfrm>
          <a:off x="7591425" y="7667625"/>
          <a:ext cx="2419350" cy="110490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lnSpc>
              <a:spcPts val="1500"/>
            </a:lnSpc>
          </a:pPr>
          <a:r>
            <a:rPr lang="ja-JP" altLang="en-US" sz="1200" b="0" i="0">
              <a:latin typeface="ＭＳ Ｐゴシック" pitchFamily="50" charset="-128"/>
              <a:ea typeface="ＭＳ Ｐゴシック" pitchFamily="50" charset="-128"/>
              <a:cs typeface="+mn-cs"/>
            </a:rPr>
            <a:t>    </a:t>
          </a:r>
          <a:r>
            <a:rPr lang="ja-JP" altLang="en-US" sz="1200" b="1" i="0">
              <a:latin typeface="ＭＳ Ｐゴシック" pitchFamily="50" charset="-128"/>
              <a:ea typeface="ＭＳ Ｐゴシック" pitchFamily="50" charset="-128"/>
              <a:cs typeface="+mn-cs"/>
            </a:rPr>
            <a:t>株式会社クレバーセレクト</a:t>
          </a:r>
          <a:endParaRPr lang="ja-JP" altLang="en-US" sz="12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2600</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twoCellAnchor>
    <xdr:from>
      <xdr:col>9</xdr:col>
      <xdr:colOff>19050</xdr:colOff>
      <xdr:row>29</xdr:row>
      <xdr:rowOff>19050</xdr:rowOff>
    </xdr:from>
    <xdr:to>
      <xdr:col>9</xdr:col>
      <xdr:colOff>133350</xdr:colOff>
      <xdr:row>29</xdr:row>
      <xdr:rowOff>161925</xdr:rowOff>
    </xdr:to>
    <xdr:sp macro="" textlink="">
      <xdr:nvSpPr>
        <xdr:cNvPr id="6" name="Oval 81">
          <a:extLst>
            <a:ext uri="{FF2B5EF4-FFF2-40B4-BE49-F238E27FC236}">
              <a16:creationId xmlns:a16="http://schemas.microsoft.com/office/drawing/2014/main" id="{84DC18AF-074B-4380-BF68-E537CFFC3464}"/>
            </a:ext>
          </a:extLst>
        </xdr:cNvPr>
        <xdr:cNvSpPr>
          <a:spLocks noChangeArrowheads="1"/>
        </xdr:cNvSpPr>
      </xdr:nvSpPr>
      <xdr:spPr bwMode="auto">
        <a:xfrm>
          <a:off x="5514975" y="4514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14</xdr:col>
      <xdr:colOff>400050</xdr:colOff>
      <xdr:row>30</xdr:row>
      <xdr:rowOff>9525</xdr:rowOff>
    </xdr:from>
    <xdr:to>
      <xdr:col>14</xdr:col>
      <xdr:colOff>514350</xdr:colOff>
      <xdr:row>30</xdr:row>
      <xdr:rowOff>152400</xdr:rowOff>
    </xdr:to>
    <xdr:sp macro="" textlink="">
      <xdr:nvSpPr>
        <xdr:cNvPr id="7" name="Oval 85">
          <a:extLst>
            <a:ext uri="{FF2B5EF4-FFF2-40B4-BE49-F238E27FC236}">
              <a16:creationId xmlns:a16="http://schemas.microsoft.com/office/drawing/2014/main" id="{246A9C02-2FB9-486F-ABAF-0B6C9375A54F}"/>
            </a:ext>
          </a:extLst>
        </xdr:cNvPr>
        <xdr:cNvSpPr>
          <a:spLocks noChangeArrowheads="1"/>
        </xdr:cNvSpPr>
      </xdr:nvSpPr>
      <xdr:spPr bwMode="auto">
        <a:xfrm>
          <a:off x="8791575" y="46767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581025</xdr:colOff>
      <xdr:row>30</xdr:row>
      <xdr:rowOff>28575</xdr:rowOff>
    </xdr:from>
    <xdr:to>
      <xdr:col>14</xdr:col>
      <xdr:colOff>666750</xdr:colOff>
      <xdr:row>30</xdr:row>
      <xdr:rowOff>161925</xdr:rowOff>
    </xdr:to>
    <xdr:sp macro="" textlink="">
      <xdr:nvSpPr>
        <xdr:cNvPr id="8" name="Text Box 87">
          <a:extLst>
            <a:ext uri="{FF2B5EF4-FFF2-40B4-BE49-F238E27FC236}">
              <a16:creationId xmlns:a16="http://schemas.microsoft.com/office/drawing/2014/main" id="{34360779-6E27-461E-9B4E-EA8A60ED3A8C}"/>
            </a:ext>
          </a:extLst>
        </xdr:cNvPr>
        <xdr:cNvSpPr txBox="1">
          <a:spLocks noChangeArrowheads="1"/>
        </xdr:cNvSpPr>
      </xdr:nvSpPr>
      <xdr:spPr bwMode="auto">
        <a:xfrm>
          <a:off x="8972550" y="4695825"/>
          <a:ext cx="85725" cy="133350"/>
        </a:xfrm>
        <a:prstGeom prst="rect">
          <a:avLst/>
        </a:prstGeom>
        <a:noFill/>
        <a:ln w="9525">
          <a:noFill/>
          <a:miter lim="800000"/>
          <a:headEnd/>
          <a:tailEnd/>
        </a:ln>
      </xdr:spPr>
      <xdr:txBody>
        <a:bodyPr vertOverflow="clip" wrap="square" lIns="0" tIns="0" rIns="0" bIns="0" anchor="t" upright="1"/>
        <a:lstStyle/>
        <a:p>
          <a:pPr algn="l" rtl="1">
            <a:defRPr sz="1000"/>
          </a:pPr>
          <a:r>
            <a:rPr lang="en-US" altLang="ja-JP" sz="600" b="0" i="0" strike="noStrike">
              <a:solidFill>
                <a:srgbClr val="000000"/>
              </a:solidFill>
              <a:latin typeface="ＭＳ Ｐゴシック"/>
              <a:ea typeface="ＭＳ Ｐゴシック"/>
            </a:rPr>
            <a:t>-</a:t>
          </a:r>
        </a:p>
      </xdr:txBody>
    </xdr:sp>
    <xdr:clientData/>
  </xdr:twoCellAnchor>
  <xdr:twoCellAnchor>
    <xdr:from>
      <xdr:col>11</xdr:col>
      <xdr:colOff>561975</xdr:colOff>
      <xdr:row>29</xdr:row>
      <xdr:rowOff>161925</xdr:rowOff>
    </xdr:from>
    <xdr:to>
      <xdr:col>11</xdr:col>
      <xdr:colOff>676275</xdr:colOff>
      <xdr:row>30</xdr:row>
      <xdr:rowOff>133350</xdr:rowOff>
    </xdr:to>
    <xdr:sp macro="" textlink="">
      <xdr:nvSpPr>
        <xdr:cNvPr id="9" name="Oval 89">
          <a:extLst>
            <a:ext uri="{FF2B5EF4-FFF2-40B4-BE49-F238E27FC236}">
              <a16:creationId xmlns:a16="http://schemas.microsoft.com/office/drawing/2014/main" id="{95CE5A73-F40D-41CA-A62F-F4FA882F8BD6}"/>
            </a:ext>
          </a:extLst>
        </xdr:cNvPr>
        <xdr:cNvSpPr>
          <a:spLocks noChangeArrowheads="1"/>
        </xdr:cNvSpPr>
      </xdr:nvSpPr>
      <xdr:spPr bwMode="auto">
        <a:xfrm>
          <a:off x="7372350" y="46577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9</xdr:col>
      <xdr:colOff>19050</xdr:colOff>
      <xdr:row>29</xdr:row>
      <xdr:rowOff>19050</xdr:rowOff>
    </xdr:from>
    <xdr:to>
      <xdr:col>9</xdr:col>
      <xdr:colOff>133350</xdr:colOff>
      <xdr:row>29</xdr:row>
      <xdr:rowOff>161925</xdr:rowOff>
    </xdr:to>
    <xdr:sp macro="" textlink="">
      <xdr:nvSpPr>
        <xdr:cNvPr id="10" name="Oval 91">
          <a:extLst>
            <a:ext uri="{FF2B5EF4-FFF2-40B4-BE49-F238E27FC236}">
              <a16:creationId xmlns:a16="http://schemas.microsoft.com/office/drawing/2014/main" id="{42722904-14E0-4F43-B65E-9599837890DF}"/>
            </a:ext>
          </a:extLst>
        </xdr:cNvPr>
        <xdr:cNvSpPr>
          <a:spLocks noChangeArrowheads="1"/>
        </xdr:cNvSpPr>
      </xdr:nvSpPr>
      <xdr:spPr bwMode="auto">
        <a:xfrm>
          <a:off x="5514975" y="4514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9525</xdr:colOff>
      <xdr:row>29</xdr:row>
      <xdr:rowOff>19050</xdr:rowOff>
    </xdr:from>
    <xdr:to>
      <xdr:col>10</xdr:col>
      <xdr:colOff>123825</xdr:colOff>
      <xdr:row>29</xdr:row>
      <xdr:rowOff>161925</xdr:rowOff>
    </xdr:to>
    <xdr:sp macro="" textlink="">
      <xdr:nvSpPr>
        <xdr:cNvPr id="11" name="Oval 92">
          <a:extLst>
            <a:ext uri="{FF2B5EF4-FFF2-40B4-BE49-F238E27FC236}">
              <a16:creationId xmlns:a16="http://schemas.microsoft.com/office/drawing/2014/main" id="{9A765F12-F9B3-48F9-AE95-EA4EE9E67E64}"/>
            </a:ext>
          </a:extLst>
        </xdr:cNvPr>
        <xdr:cNvSpPr>
          <a:spLocks noChangeArrowheads="1"/>
        </xdr:cNvSpPr>
      </xdr:nvSpPr>
      <xdr:spPr bwMode="auto">
        <a:xfrm>
          <a:off x="6315075" y="4514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29</xdr:row>
      <xdr:rowOff>19050</xdr:rowOff>
    </xdr:from>
    <xdr:to>
      <xdr:col>11</xdr:col>
      <xdr:colOff>133350</xdr:colOff>
      <xdr:row>29</xdr:row>
      <xdr:rowOff>161925</xdr:rowOff>
    </xdr:to>
    <xdr:sp macro="" textlink="">
      <xdr:nvSpPr>
        <xdr:cNvPr id="12" name="Oval 93">
          <a:extLst>
            <a:ext uri="{FF2B5EF4-FFF2-40B4-BE49-F238E27FC236}">
              <a16:creationId xmlns:a16="http://schemas.microsoft.com/office/drawing/2014/main" id="{81D9DCA8-BACE-465F-8703-F45AF88CB14A}"/>
            </a:ext>
          </a:extLst>
        </xdr:cNvPr>
        <xdr:cNvSpPr>
          <a:spLocks noChangeArrowheads="1"/>
        </xdr:cNvSpPr>
      </xdr:nvSpPr>
      <xdr:spPr bwMode="auto">
        <a:xfrm>
          <a:off x="6829425" y="4514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38100</xdr:colOff>
      <xdr:row>29</xdr:row>
      <xdr:rowOff>19050</xdr:rowOff>
    </xdr:from>
    <xdr:to>
      <xdr:col>12</xdr:col>
      <xdr:colOff>152400</xdr:colOff>
      <xdr:row>29</xdr:row>
      <xdr:rowOff>161925</xdr:rowOff>
    </xdr:to>
    <xdr:sp macro="" textlink="">
      <xdr:nvSpPr>
        <xdr:cNvPr id="13" name="Oval 94">
          <a:extLst>
            <a:ext uri="{FF2B5EF4-FFF2-40B4-BE49-F238E27FC236}">
              <a16:creationId xmlns:a16="http://schemas.microsoft.com/office/drawing/2014/main" id="{A3E8E924-B28D-4096-BD0C-002934591513}"/>
            </a:ext>
          </a:extLst>
        </xdr:cNvPr>
        <xdr:cNvSpPr>
          <a:spLocks noChangeArrowheads="1"/>
        </xdr:cNvSpPr>
      </xdr:nvSpPr>
      <xdr:spPr bwMode="auto">
        <a:xfrm>
          <a:off x="7658100" y="45148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676275</xdr:colOff>
      <xdr:row>30</xdr:row>
      <xdr:rowOff>9525</xdr:rowOff>
    </xdr:from>
    <xdr:to>
      <xdr:col>14</xdr:col>
      <xdr:colOff>790575</xdr:colOff>
      <xdr:row>30</xdr:row>
      <xdr:rowOff>152400</xdr:rowOff>
    </xdr:to>
    <xdr:sp macro="" textlink="">
      <xdr:nvSpPr>
        <xdr:cNvPr id="14" name="Oval 96">
          <a:extLst>
            <a:ext uri="{FF2B5EF4-FFF2-40B4-BE49-F238E27FC236}">
              <a16:creationId xmlns:a16="http://schemas.microsoft.com/office/drawing/2014/main" id="{F8E08B1C-C8B2-4130-B277-467B088C5498}"/>
            </a:ext>
          </a:extLst>
        </xdr:cNvPr>
        <xdr:cNvSpPr>
          <a:spLocks noChangeArrowheads="1"/>
        </xdr:cNvSpPr>
      </xdr:nvSpPr>
      <xdr:spPr bwMode="auto">
        <a:xfrm>
          <a:off x="9067800" y="467677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11</xdr:col>
      <xdr:colOff>323850</xdr:colOff>
      <xdr:row>29</xdr:row>
      <xdr:rowOff>161925</xdr:rowOff>
    </xdr:from>
    <xdr:to>
      <xdr:col>11</xdr:col>
      <xdr:colOff>438150</xdr:colOff>
      <xdr:row>30</xdr:row>
      <xdr:rowOff>133350</xdr:rowOff>
    </xdr:to>
    <xdr:sp macro="" textlink="">
      <xdr:nvSpPr>
        <xdr:cNvPr id="15" name="Oval 97">
          <a:extLst>
            <a:ext uri="{FF2B5EF4-FFF2-40B4-BE49-F238E27FC236}">
              <a16:creationId xmlns:a16="http://schemas.microsoft.com/office/drawing/2014/main" id="{E50FD01E-D85F-4DD0-8066-C87051A959C2}"/>
            </a:ext>
          </a:extLst>
        </xdr:cNvPr>
        <xdr:cNvSpPr>
          <a:spLocks noChangeArrowheads="1"/>
        </xdr:cNvSpPr>
      </xdr:nvSpPr>
      <xdr:spPr bwMode="auto">
        <a:xfrm>
          <a:off x="7134225" y="46577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561975</xdr:colOff>
      <xdr:row>29</xdr:row>
      <xdr:rowOff>161925</xdr:rowOff>
    </xdr:from>
    <xdr:to>
      <xdr:col>11</xdr:col>
      <xdr:colOff>676275</xdr:colOff>
      <xdr:row>30</xdr:row>
      <xdr:rowOff>133350</xdr:rowOff>
    </xdr:to>
    <xdr:sp macro="" textlink="">
      <xdr:nvSpPr>
        <xdr:cNvPr id="16" name="Oval 98">
          <a:extLst>
            <a:ext uri="{FF2B5EF4-FFF2-40B4-BE49-F238E27FC236}">
              <a16:creationId xmlns:a16="http://schemas.microsoft.com/office/drawing/2014/main" id="{5F04CE39-0405-4544-9D9C-229F13DFDA04}"/>
            </a:ext>
          </a:extLst>
        </xdr:cNvPr>
        <xdr:cNvSpPr>
          <a:spLocks noChangeArrowheads="1"/>
        </xdr:cNvSpPr>
      </xdr:nvSpPr>
      <xdr:spPr bwMode="auto">
        <a:xfrm>
          <a:off x="7372350" y="46577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466725</xdr:colOff>
      <xdr:row>30</xdr:row>
      <xdr:rowOff>19050</xdr:rowOff>
    </xdr:from>
    <xdr:to>
      <xdr:col>11</xdr:col>
      <xdr:colOff>590550</xdr:colOff>
      <xdr:row>30</xdr:row>
      <xdr:rowOff>152400</xdr:rowOff>
    </xdr:to>
    <xdr:sp macro="" textlink="">
      <xdr:nvSpPr>
        <xdr:cNvPr id="17" name="Text Box 99">
          <a:extLst>
            <a:ext uri="{FF2B5EF4-FFF2-40B4-BE49-F238E27FC236}">
              <a16:creationId xmlns:a16="http://schemas.microsoft.com/office/drawing/2014/main" id="{466233D0-8E00-42AE-9A4B-7368F1E1F113}"/>
            </a:ext>
          </a:extLst>
        </xdr:cNvPr>
        <xdr:cNvSpPr txBox="1">
          <a:spLocks noChangeArrowheads="1"/>
        </xdr:cNvSpPr>
      </xdr:nvSpPr>
      <xdr:spPr bwMode="auto">
        <a:xfrm>
          <a:off x="7277100" y="4686300"/>
          <a:ext cx="123825" cy="133350"/>
        </a:xfrm>
        <a:prstGeom prst="rect">
          <a:avLst/>
        </a:prstGeom>
        <a:noFill/>
        <a:ln w="9525">
          <a:noFill/>
          <a:miter lim="800000"/>
          <a:headEnd/>
          <a:tailEnd/>
        </a:ln>
      </xdr:spPr>
      <xdr:txBody>
        <a:bodyPr vertOverflow="clip" wrap="square" lIns="0" tIns="0" rIns="0" bIns="0" anchor="t" upright="1"/>
        <a:lstStyle/>
        <a:p>
          <a:pPr algn="l" rtl="1">
            <a:defRPr sz="1000"/>
          </a:pPr>
          <a:r>
            <a:rPr lang="en-US" altLang="ja-JP" sz="600" b="0" i="0" strike="noStrike">
              <a:solidFill>
                <a:srgbClr val="000000"/>
              </a:solidFill>
              <a:latin typeface="ＭＳ Ｐゴシック"/>
              <a:ea typeface="ＭＳ Ｐゴシック"/>
            </a:rPr>
            <a:t>×</a:t>
          </a:r>
        </a:p>
      </xdr:txBody>
    </xdr:sp>
    <xdr:clientData/>
  </xdr:twoCellAnchor>
  <xdr:twoCellAnchor>
    <xdr:from>
      <xdr:col>9</xdr:col>
      <xdr:colOff>19050</xdr:colOff>
      <xdr:row>71</xdr:row>
      <xdr:rowOff>19050</xdr:rowOff>
    </xdr:from>
    <xdr:to>
      <xdr:col>9</xdr:col>
      <xdr:colOff>133350</xdr:colOff>
      <xdr:row>71</xdr:row>
      <xdr:rowOff>161925</xdr:rowOff>
    </xdr:to>
    <xdr:sp macro="" textlink="">
      <xdr:nvSpPr>
        <xdr:cNvPr id="18" name="Oval 100">
          <a:extLst>
            <a:ext uri="{FF2B5EF4-FFF2-40B4-BE49-F238E27FC236}">
              <a16:creationId xmlns:a16="http://schemas.microsoft.com/office/drawing/2014/main" id="{A72DEA8A-19AE-4B89-A753-9F06C613116F}"/>
            </a:ext>
          </a:extLst>
        </xdr:cNvPr>
        <xdr:cNvSpPr>
          <a:spLocks noChangeArrowheads="1"/>
        </xdr:cNvSpPr>
      </xdr:nvSpPr>
      <xdr:spPr bwMode="auto">
        <a:xfrm>
          <a:off x="5514975" y="120110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14</xdr:col>
      <xdr:colOff>400050</xdr:colOff>
      <xdr:row>72</xdr:row>
      <xdr:rowOff>9525</xdr:rowOff>
    </xdr:from>
    <xdr:to>
      <xdr:col>14</xdr:col>
      <xdr:colOff>514350</xdr:colOff>
      <xdr:row>72</xdr:row>
      <xdr:rowOff>152400</xdr:rowOff>
    </xdr:to>
    <xdr:sp macro="" textlink="">
      <xdr:nvSpPr>
        <xdr:cNvPr id="19" name="Oval 101">
          <a:extLst>
            <a:ext uri="{FF2B5EF4-FFF2-40B4-BE49-F238E27FC236}">
              <a16:creationId xmlns:a16="http://schemas.microsoft.com/office/drawing/2014/main" id="{0CE65F04-3427-4D49-9D7E-7AE4EFC6DA28}"/>
            </a:ext>
          </a:extLst>
        </xdr:cNvPr>
        <xdr:cNvSpPr>
          <a:spLocks noChangeArrowheads="1"/>
        </xdr:cNvSpPr>
      </xdr:nvSpPr>
      <xdr:spPr bwMode="auto">
        <a:xfrm>
          <a:off x="8791575" y="12172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14</xdr:col>
      <xdr:colOff>581025</xdr:colOff>
      <xdr:row>72</xdr:row>
      <xdr:rowOff>28575</xdr:rowOff>
    </xdr:from>
    <xdr:to>
      <xdr:col>14</xdr:col>
      <xdr:colOff>666750</xdr:colOff>
      <xdr:row>72</xdr:row>
      <xdr:rowOff>161925</xdr:rowOff>
    </xdr:to>
    <xdr:sp macro="" textlink="">
      <xdr:nvSpPr>
        <xdr:cNvPr id="20" name="Text Box 102">
          <a:extLst>
            <a:ext uri="{FF2B5EF4-FFF2-40B4-BE49-F238E27FC236}">
              <a16:creationId xmlns:a16="http://schemas.microsoft.com/office/drawing/2014/main" id="{10BDFB7E-D631-425C-880C-FBE44D2E9565}"/>
            </a:ext>
          </a:extLst>
        </xdr:cNvPr>
        <xdr:cNvSpPr txBox="1">
          <a:spLocks noChangeArrowheads="1"/>
        </xdr:cNvSpPr>
      </xdr:nvSpPr>
      <xdr:spPr bwMode="auto">
        <a:xfrm>
          <a:off x="8972550" y="12192000"/>
          <a:ext cx="85725" cy="133350"/>
        </a:xfrm>
        <a:prstGeom prst="rect">
          <a:avLst/>
        </a:prstGeom>
        <a:noFill/>
        <a:ln w="9525">
          <a:noFill/>
          <a:miter lim="800000"/>
          <a:headEnd/>
          <a:tailEnd/>
        </a:ln>
      </xdr:spPr>
      <xdr:txBody>
        <a:bodyPr vertOverflow="clip" wrap="square" lIns="0" tIns="0" rIns="0" bIns="0" anchor="t" upright="1"/>
        <a:lstStyle/>
        <a:p>
          <a:pPr algn="l" rtl="1">
            <a:defRPr sz="1000"/>
          </a:pPr>
          <a:r>
            <a:rPr lang="en-US" altLang="ja-JP" sz="600" b="0" i="0" strike="noStrike">
              <a:solidFill>
                <a:srgbClr val="000000"/>
              </a:solidFill>
              <a:latin typeface="ＭＳ Ｐゴシック"/>
              <a:ea typeface="ＭＳ Ｐゴシック"/>
            </a:rPr>
            <a:t>-</a:t>
          </a:r>
        </a:p>
      </xdr:txBody>
    </xdr:sp>
    <xdr:clientData/>
  </xdr:twoCellAnchor>
  <xdr:twoCellAnchor>
    <xdr:from>
      <xdr:col>11</xdr:col>
      <xdr:colOff>561975</xdr:colOff>
      <xdr:row>71</xdr:row>
      <xdr:rowOff>161925</xdr:rowOff>
    </xdr:from>
    <xdr:to>
      <xdr:col>11</xdr:col>
      <xdr:colOff>676275</xdr:colOff>
      <xdr:row>72</xdr:row>
      <xdr:rowOff>133350</xdr:rowOff>
    </xdr:to>
    <xdr:sp macro="" textlink="">
      <xdr:nvSpPr>
        <xdr:cNvPr id="21" name="Oval 103">
          <a:extLst>
            <a:ext uri="{FF2B5EF4-FFF2-40B4-BE49-F238E27FC236}">
              <a16:creationId xmlns:a16="http://schemas.microsoft.com/office/drawing/2014/main" id="{075F3177-7ED2-4223-94B0-B1DACD22A78F}"/>
            </a:ext>
          </a:extLst>
        </xdr:cNvPr>
        <xdr:cNvSpPr>
          <a:spLocks noChangeArrowheads="1"/>
        </xdr:cNvSpPr>
      </xdr:nvSpPr>
      <xdr:spPr bwMode="auto">
        <a:xfrm>
          <a:off x="7372350" y="1215390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9</xdr:col>
      <xdr:colOff>19050</xdr:colOff>
      <xdr:row>71</xdr:row>
      <xdr:rowOff>19050</xdr:rowOff>
    </xdr:from>
    <xdr:to>
      <xdr:col>9</xdr:col>
      <xdr:colOff>133350</xdr:colOff>
      <xdr:row>71</xdr:row>
      <xdr:rowOff>161925</xdr:rowOff>
    </xdr:to>
    <xdr:sp macro="" textlink="">
      <xdr:nvSpPr>
        <xdr:cNvPr id="22" name="Oval 104">
          <a:extLst>
            <a:ext uri="{FF2B5EF4-FFF2-40B4-BE49-F238E27FC236}">
              <a16:creationId xmlns:a16="http://schemas.microsoft.com/office/drawing/2014/main" id="{E5FC262B-B1ED-4689-B222-16B1E563D311}"/>
            </a:ext>
          </a:extLst>
        </xdr:cNvPr>
        <xdr:cNvSpPr>
          <a:spLocks noChangeArrowheads="1"/>
        </xdr:cNvSpPr>
      </xdr:nvSpPr>
      <xdr:spPr bwMode="auto">
        <a:xfrm>
          <a:off x="5514975" y="120110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10</xdr:col>
      <xdr:colOff>9525</xdr:colOff>
      <xdr:row>71</xdr:row>
      <xdr:rowOff>19050</xdr:rowOff>
    </xdr:from>
    <xdr:to>
      <xdr:col>10</xdr:col>
      <xdr:colOff>123825</xdr:colOff>
      <xdr:row>71</xdr:row>
      <xdr:rowOff>161925</xdr:rowOff>
    </xdr:to>
    <xdr:sp macro="" textlink="">
      <xdr:nvSpPr>
        <xdr:cNvPr id="23" name="Oval 105">
          <a:extLst>
            <a:ext uri="{FF2B5EF4-FFF2-40B4-BE49-F238E27FC236}">
              <a16:creationId xmlns:a16="http://schemas.microsoft.com/office/drawing/2014/main" id="{19DAC036-59CA-4486-A5D4-5646095F93B3}"/>
            </a:ext>
          </a:extLst>
        </xdr:cNvPr>
        <xdr:cNvSpPr>
          <a:spLocks noChangeArrowheads="1"/>
        </xdr:cNvSpPr>
      </xdr:nvSpPr>
      <xdr:spPr bwMode="auto">
        <a:xfrm>
          <a:off x="6315075" y="120110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19050</xdr:colOff>
      <xdr:row>71</xdr:row>
      <xdr:rowOff>19050</xdr:rowOff>
    </xdr:from>
    <xdr:to>
      <xdr:col>11</xdr:col>
      <xdr:colOff>133350</xdr:colOff>
      <xdr:row>71</xdr:row>
      <xdr:rowOff>161925</xdr:rowOff>
    </xdr:to>
    <xdr:sp macro="" textlink="">
      <xdr:nvSpPr>
        <xdr:cNvPr id="24" name="Oval 106">
          <a:extLst>
            <a:ext uri="{FF2B5EF4-FFF2-40B4-BE49-F238E27FC236}">
              <a16:creationId xmlns:a16="http://schemas.microsoft.com/office/drawing/2014/main" id="{D6C933FA-3E7E-4FA4-9381-8727235C24AF}"/>
            </a:ext>
          </a:extLst>
        </xdr:cNvPr>
        <xdr:cNvSpPr>
          <a:spLocks noChangeArrowheads="1"/>
        </xdr:cNvSpPr>
      </xdr:nvSpPr>
      <xdr:spPr bwMode="auto">
        <a:xfrm>
          <a:off x="6829425" y="120110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ウ</a:t>
          </a:r>
        </a:p>
      </xdr:txBody>
    </xdr:sp>
    <xdr:clientData/>
  </xdr:twoCellAnchor>
  <xdr:twoCellAnchor>
    <xdr:from>
      <xdr:col>12</xdr:col>
      <xdr:colOff>38100</xdr:colOff>
      <xdr:row>71</xdr:row>
      <xdr:rowOff>19050</xdr:rowOff>
    </xdr:from>
    <xdr:to>
      <xdr:col>12</xdr:col>
      <xdr:colOff>152400</xdr:colOff>
      <xdr:row>71</xdr:row>
      <xdr:rowOff>161925</xdr:rowOff>
    </xdr:to>
    <xdr:sp macro="" textlink="">
      <xdr:nvSpPr>
        <xdr:cNvPr id="25" name="Oval 107">
          <a:extLst>
            <a:ext uri="{FF2B5EF4-FFF2-40B4-BE49-F238E27FC236}">
              <a16:creationId xmlns:a16="http://schemas.microsoft.com/office/drawing/2014/main" id="{4BD56DF7-73B3-4B15-989B-647646A7601A}"/>
            </a:ext>
          </a:extLst>
        </xdr:cNvPr>
        <xdr:cNvSpPr>
          <a:spLocks noChangeArrowheads="1"/>
        </xdr:cNvSpPr>
      </xdr:nvSpPr>
      <xdr:spPr bwMode="auto">
        <a:xfrm>
          <a:off x="7658100" y="12011025"/>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14</xdr:col>
      <xdr:colOff>676275</xdr:colOff>
      <xdr:row>72</xdr:row>
      <xdr:rowOff>9525</xdr:rowOff>
    </xdr:from>
    <xdr:to>
      <xdr:col>14</xdr:col>
      <xdr:colOff>790575</xdr:colOff>
      <xdr:row>72</xdr:row>
      <xdr:rowOff>152400</xdr:rowOff>
    </xdr:to>
    <xdr:sp macro="" textlink="">
      <xdr:nvSpPr>
        <xdr:cNvPr id="26" name="Oval 108">
          <a:extLst>
            <a:ext uri="{FF2B5EF4-FFF2-40B4-BE49-F238E27FC236}">
              <a16:creationId xmlns:a16="http://schemas.microsoft.com/office/drawing/2014/main" id="{0807241C-90A9-4090-99A3-157F2E3C0F8B}"/>
            </a:ext>
          </a:extLst>
        </xdr:cNvPr>
        <xdr:cNvSpPr>
          <a:spLocks noChangeArrowheads="1"/>
        </xdr:cNvSpPr>
      </xdr:nvSpPr>
      <xdr:spPr bwMode="auto">
        <a:xfrm>
          <a:off x="9067800" y="1217295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エ</a:t>
          </a:r>
        </a:p>
      </xdr:txBody>
    </xdr:sp>
    <xdr:clientData/>
  </xdr:twoCellAnchor>
  <xdr:twoCellAnchor>
    <xdr:from>
      <xdr:col>11</xdr:col>
      <xdr:colOff>323850</xdr:colOff>
      <xdr:row>71</xdr:row>
      <xdr:rowOff>161925</xdr:rowOff>
    </xdr:from>
    <xdr:to>
      <xdr:col>11</xdr:col>
      <xdr:colOff>438150</xdr:colOff>
      <xdr:row>72</xdr:row>
      <xdr:rowOff>133350</xdr:rowOff>
    </xdr:to>
    <xdr:sp macro="" textlink="">
      <xdr:nvSpPr>
        <xdr:cNvPr id="27" name="Oval 109">
          <a:extLst>
            <a:ext uri="{FF2B5EF4-FFF2-40B4-BE49-F238E27FC236}">
              <a16:creationId xmlns:a16="http://schemas.microsoft.com/office/drawing/2014/main" id="{422B355C-E020-4801-AC15-EDC121EC1FD3}"/>
            </a:ext>
          </a:extLst>
        </xdr:cNvPr>
        <xdr:cNvSpPr>
          <a:spLocks noChangeArrowheads="1"/>
        </xdr:cNvSpPr>
      </xdr:nvSpPr>
      <xdr:spPr bwMode="auto">
        <a:xfrm>
          <a:off x="7134225" y="1215390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ア</a:t>
          </a:r>
        </a:p>
      </xdr:txBody>
    </xdr:sp>
    <xdr:clientData/>
  </xdr:twoCellAnchor>
  <xdr:twoCellAnchor>
    <xdr:from>
      <xdr:col>11</xdr:col>
      <xdr:colOff>561975</xdr:colOff>
      <xdr:row>71</xdr:row>
      <xdr:rowOff>161925</xdr:rowOff>
    </xdr:from>
    <xdr:to>
      <xdr:col>11</xdr:col>
      <xdr:colOff>676275</xdr:colOff>
      <xdr:row>72</xdr:row>
      <xdr:rowOff>133350</xdr:rowOff>
    </xdr:to>
    <xdr:sp macro="" textlink="">
      <xdr:nvSpPr>
        <xdr:cNvPr id="28" name="Oval 110">
          <a:extLst>
            <a:ext uri="{FF2B5EF4-FFF2-40B4-BE49-F238E27FC236}">
              <a16:creationId xmlns:a16="http://schemas.microsoft.com/office/drawing/2014/main" id="{DF028E6B-564A-41CD-9E29-BEEF57000DAF}"/>
            </a:ext>
          </a:extLst>
        </xdr:cNvPr>
        <xdr:cNvSpPr>
          <a:spLocks noChangeArrowheads="1"/>
        </xdr:cNvSpPr>
      </xdr:nvSpPr>
      <xdr:spPr bwMode="auto">
        <a:xfrm>
          <a:off x="7372350" y="12153900"/>
          <a:ext cx="114300" cy="142875"/>
        </a:xfrm>
        <a:prstGeom prst="ellipse">
          <a:avLst/>
        </a:prstGeom>
        <a:solidFill>
          <a:srgbClr val="FFFFFF"/>
        </a:solidFill>
        <a:ln w="9525">
          <a:solidFill>
            <a:srgbClr val="000000"/>
          </a:solidFill>
          <a:round/>
          <a:headEnd/>
          <a:tailEnd/>
        </a:ln>
      </xdr:spPr>
      <xdr:txBody>
        <a:bodyPr vertOverflow="clip" wrap="square" lIns="0" tIns="0" rIns="0" bIns="0" anchor="t" upright="1"/>
        <a:lstStyle/>
        <a:p>
          <a:pPr algn="l" rtl="1">
            <a:defRPr sz="1000"/>
          </a:pPr>
          <a:r>
            <a:rPr lang="ja-JP" altLang="en-US" sz="600" b="0" i="0" strike="noStrike">
              <a:solidFill>
                <a:srgbClr val="000000"/>
              </a:solidFill>
              <a:latin typeface="ＭＳ Ｐゴシック"/>
              <a:ea typeface="ＭＳ Ｐゴシック"/>
            </a:rPr>
            <a:t>イ</a:t>
          </a:r>
        </a:p>
      </xdr:txBody>
    </xdr:sp>
    <xdr:clientData/>
  </xdr:twoCellAnchor>
  <xdr:twoCellAnchor>
    <xdr:from>
      <xdr:col>11</xdr:col>
      <xdr:colOff>466725</xdr:colOff>
      <xdr:row>72</xdr:row>
      <xdr:rowOff>19050</xdr:rowOff>
    </xdr:from>
    <xdr:to>
      <xdr:col>11</xdr:col>
      <xdr:colOff>590550</xdr:colOff>
      <xdr:row>72</xdr:row>
      <xdr:rowOff>152400</xdr:rowOff>
    </xdr:to>
    <xdr:sp macro="" textlink="">
      <xdr:nvSpPr>
        <xdr:cNvPr id="29" name="Text Box 111">
          <a:extLst>
            <a:ext uri="{FF2B5EF4-FFF2-40B4-BE49-F238E27FC236}">
              <a16:creationId xmlns:a16="http://schemas.microsoft.com/office/drawing/2014/main" id="{4A9F3475-0658-46CC-8694-5F2F3FADD8E5}"/>
            </a:ext>
          </a:extLst>
        </xdr:cNvPr>
        <xdr:cNvSpPr txBox="1">
          <a:spLocks noChangeArrowheads="1"/>
        </xdr:cNvSpPr>
      </xdr:nvSpPr>
      <xdr:spPr bwMode="auto">
        <a:xfrm>
          <a:off x="7277100" y="12182475"/>
          <a:ext cx="123825" cy="133350"/>
        </a:xfrm>
        <a:prstGeom prst="rect">
          <a:avLst/>
        </a:prstGeom>
        <a:noFill/>
        <a:ln w="9525">
          <a:noFill/>
          <a:miter lim="800000"/>
          <a:headEnd/>
          <a:tailEnd/>
        </a:ln>
      </xdr:spPr>
      <xdr:txBody>
        <a:bodyPr vertOverflow="clip" wrap="square" lIns="0" tIns="0" rIns="0" bIns="0" anchor="t" upright="1"/>
        <a:lstStyle/>
        <a:p>
          <a:pPr algn="l" rtl="1">
            <a:defRPr sz="1000"/>
          </a:pPr>
          <a:r>
            <a:rPr lang="en-US" altLang="ja-JP" sz="600" b="0" i="0" strike="noStrike">
              <a:solidFill>
                <a:srgbClr val="000000"/>
              </a:solidFill>
              <a:latin typeface="ＭＳ Ｐゴシック"/>
              <a:ea typeface="ＭＳ Ｐゴシック"/>
            </a:rPr>
            <a: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428625</xdr:colOff>
      <xdr:row>65</xdr:row>
      <xdr:rowOff>38100</xdr:rowOff>
    </xdr:from>
    <xdr:to>
      <xdr:col>11</xdr:col>
      <xdr:colOff>76200</xdr:colOff>
      <xdr:row>69</xdr:row>
      <xdr:rowOff>152400</xdr:rowOff>
    </xdr:to>
    <xdr:pic>
      <xdr:nvPicPr>
        <xdr:cNvPr id="2" name="図 6" descr="トラスト角印.jpg">
          <a:extLst>
            <a:ext uri="{FF2B5EF4-FFF2-40B4-BE49-F238E27FC236}">
              <a16:creationId xmlns:a16="http://schemas.microsoft.com/office/drawing/2014/main" id="{7B398783-19E3-400E-9E18-9D053AE4E7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72150" y="11325225"/>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428625</xdr:colOff>
      <xdr:row>2</xdr:row>
      <xdr:rowOff>28575</xdr:rowOff>
    </xdr:from>
    <xdr:to>
      <xdr:col>11</xdr:col>
      <xdr:colOff>76200</xdr:colOff>
      <xdr:row>6</xdr:row>
      <xdr:rowOff>142875</xdr:rowOff>
    </xdr:to>
    <xdr:pic>
      <xdr:nvPicPr>
        <xdr:cNvPr id="3" name="図 5" descr="トラスト角印.jpg">
          <a:extLst>
            <a:ext uri="{FF2B5EF4-FFF2-40B4-BE49-F238E27FC236}">
              <a16:creationId xmlns:a16="http://schemas.microsoft.com/office/drawing/2014/main" id="{876CCA0E-11E6-479A-AB12-4646CD38490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72150" y="371475"/>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342900</xdr:colOff>
      <xdr:row>1</xdr:row>
      <xdr:rowOff>38100</xdr:rowOff>
    </xdr:from>
    <xdr:to>
      <xdr:col>11</xdr:col>
      <xdr:colOff>533400</xdr:colOff>
      <xdr:row>6</xdr:row>
      <xdr:rowOff>228600</xdr:rowOff>
    </xdr:to>
    <xdr:sp macro="" textlink="">
      <xdr:nvSpPr>
        <xdr:cNvPr id="4" name="Text Box 7">
          <a:extLst>
            <a:ext uri="{FF2B5EF4-FFF2-40B4-BE49-F238E27FC236}">
              <a16:creationId xmlns:a16="http://schemas.microsoft.com/office/drawing/2014/main" id="{6B0896A4-F243-4905-9AA5-27EF160882BB}"/>
            </a:ext>
          </a:extLst>
        </xdr:cNvPr>
        <xdr:cNvSpPr txBox="1">
          <a:spLocks noChangeArrowheads="1"/>
        </xdr:cNvSpPr>
      </xdr:nvSpPr>
      <xdr:spPr bwMode="auto">
        <a:xfrm>
          <a:off x="4524375" y="209550"/>
          <a:ext cx="251460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株式会社トラスト</a:t>
          </a:r>
          <a:endParaRPr lang="ja-JP" altLang="en-US" sz="11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twoCellAnchor>
    <xdr:from>
      <xdr:col>7</xdr:col>
      <xdr:colOff>342900</xdr:colOff>
      <xdr:row>64</xdr:row>
      <xdr:rowOff>38100</xdr:rowOff>
    </xdr:from>
    <xdr:to>
      <xdr:col>11</xdr:col>
      <xdr:colOff>533400</xdr:colOff>
      <xdr:row>70</xdr:row>
      <xdr:rowOff>9525</xdr:rowOff>
    </xdr:to>
    <xdr:sp macro="" textlink="">
      <xdr:nvSpPr>
        <xdr:cNvPr id="5" name="Text Box 7">
          <a:extLst>
            <a:ext uri="{FF2B5EF4-FFF2-40B4-BE49-F238E27FC236}">
              <a16:creationId xmlns:a16="http://schemas.microsoft.com/office/drawing/2014/main" id="{E9F46A88-642C-4CB8-AE0B-6F7CC24911D8}"/>
            </a:ext>
          </a:extLst>
        </xdr:cNvPr>
        <xdr:cNvSpPr txBox="1">
          <a:spLocks noChangeArrowheads="1"/>
        </xdr:cNvSpPr>
      </xdr:nvSpPr>
      <xdr:spPr bwMode="auto">
        <a:xfrm>
          <a:off x="4524375" y="11153775"/>
          <a:ext cx="251460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株式会社トラスト</a:t>
          </a:r>
          <a:endParaRPr lang="ja-JP" altLang="en-US" sz="11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447675</xdr:colOff>
      <xdr:row>2</xdr:row>
      <xdr:rowOff>9525</xdr:rowOff>
    </xdr:from>
    <xdr:to>
      <xdr:col>11</xdr:col>
      <xdr:colOff>95250</xdr:colOff>
      <xdr:row>6</xdr:row>
      <xdr:rowOff>123825</xdr:rowOff>
    </xdr:to>
    <xdr:pic>
      <xdr:nvPicPr>
        <xdr:cNvPr id="2" name="図 5" descr="トラスト角印.jpg">
          <a:extLst>
            <a:ext uri="{FF2B5EF4-FFF2-40B4-BE49-F238E27FC236}">
              <a16:creationId xmlns:a16="http://schemas.microsoft.com/office/drawing/2014/main" id="{A8E0981F-A56C-44B6-8DAB-FD25ED0501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352425"/>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352425</xdr:colOff>
      <xdr:row>1</xdr:row>
      <xdr:rowOff>9525</xdr:rowOff>
    </xdr:from>
    <xdr:to>
      <xdr:col>11</xdr:col>
      <xdr:colOff>542925</xdr:colOff>
      <xdr:row>6</xdr:row>
      <xdr:rowOff>200025</xdr:rowOff>
    </xdr:to>
    <xdr:sp macro="" textlink="">
      <xdr:nvSpPr>
        <xdr:cNvPr id="3" name="Text Box 7">
          <a:extLst>
            <a:ext uri="{FF2B5EF4-FFF2-40B4-BE49-F238E27FC236}">
              <a16:creationId xmlns:a16="http://schemas.microsoft.com/office/drawing/2014/main" id="{9F0FA67F-5442-4CC1-AF6B-F3F558B5A8BD}"/>
            </a:ext>
          </a:extLst>
        </xdr:cNvPr>
        <xdr:cNvSpPr txBox="1">
          <a:spLocks noChangeArrowheads="1"/>
        </xdr:cNvSpPr>
      </xdr:nvSpPr>
      <xdr:spPr bwMode="auto">
        <a:xfrm>
          <a:off x="4533900" y="180975"/>
          <a:ext cx="251460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　トラスト</a:t>
          </a:r>
          <a:endParaRPr lang="ja-JP" altLang="en-US" sz="11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twoCellAnchor editAs="oneCell">
    <xdr:from>
      <xdr:col>9</xdr:col>
      <xdr:colOff>390525</xdr:colOff>
      <xdr:row>66</xdr:row>
      <xdr:rowOff>28575</xdr:rowOff>
    </xdr:from>
    <xdr:to>
      <xdr:col>11</xdr:col>
      <xdr:colOff>38100</xdr:colOff>
      <xdr:row>70</xdr:row>
      <xdr:rowOff>95250</xdr:rowOff>
    </xdr:to>
    <xdr:pic>
      <xdr:nvPicPr>
        <xdr:cNvPr id="4" name="図 9" descr="トラスト角印.jpg">
          <a:extLst>
            <a:ext uri="{FF2B5EF4-FFF2-40B4-BE49-F238E27FC236}">
              <a16:creationId xmlns:a16="http://schemas.microsoft.com/office/drawing/2014/main" id="{77CAA89C-2E1B-430A-9C2A-B4D83816B3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34050" y="11496675"/>
          <a:ext cx="8096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333375</xdr:colOff>
      <xdr:row>65</xdr:row>
      <xdr:rowOff>9525</xdr:rowOff>
    </xdr:from>
    <xdr:to>
      <xdr:col>11</xdr:col>
      <xdr:colOff>542925</xdr:colOff>
      <xdr:row>70</xdr:row>
      <xdr:rowOff>152400</xdr:rowOff>
    </xdr:to>
    <xdr:sp macro="" textlink="">
      <xdr:nvSpPr>
        <xdr:cNvPr id="5" name="Text Box 8">
          <a:extLst>
            <a:ext uri="{FF2B5EF4-FFF2-40B4-BE49-F238E27FC236}">
              <a16:creationId xmlns:a16="http://schemas.microsoft.com/office/drawing/2014/main" id="{0BF8C670-9B49-4E56-A4DB-AA9FC2F7FDC2}"/>
            </a:ext>
          </a:extLst>
        </xdr:cNvPr>
        <xdr:cNvSpPr txBox="1">
          <a:spLocks noChangeArrowheads="1"/>
        </xdr:cNvSpPr>
      </xdr:nvSpPr>
      <xdr:spPr bwMode="auto">
        <a:xfrm>
          <a:off x="4514850" y="11306175"/>
          <a:ext cx="2533650" cy="1047750"/>
        </a:xfrm>
        <a:prstGeom prst="rect">
          <a:avLst/>
        </a:prstGeom>
        <a:noFill/>
        <a:ln w="9525">
          <a:noFill/>
          <a:miter lim="800000"/>
          <a:headEnd/>
          <a:tailEnd/>
        </a:ln>
      </xdr:spPr>
      <xdr:txBody>
        <a:bodyPr vertOverflow="clip" wrap="square" lIns="27432" tIns="18288" rIns="0" bIns="0" anchor="t" upright="1"/>
        <a:lstStyle/>
        <a:p>
          <a:pPr rtl="0">
            <a:lnSpc>
              <a:spcPts val="1100"/>
            </a:lnSpc>
          </a:pP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541-0046</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大阪府大阪市中央区平野町２丁目４</a:t>
          </a:r>
          <a:r>
            <a:rPr lang="en-US" sz="900" b="0" i="0">
              <a:latin typeface="ＭＳ Ｐゴシック" pitchFamily="50" charset="-128"/>
              <a:ea typeface="ＭＳ Ｐゴシック" pitchFamily="50" charset="-128"/>
              <a:cs typeface="+mn-cs"/>
            </a:rPr>
            <a:t>-</a:t>
          </a:r>
          <a:r>
            <a:rPr lang="ja-JP" altLang="en-US" sz="900" b="0" i="0">
              <a:latin typeface="ＭＳ Ｐゴシック" pitchFamily="50" charset="-128"/>
              <a:ea typeface="ＭＳ Ｐゴシック" pitchFamily="50" charset="-128"/>
              <a:cs typeface="+mn-cs"/>
            </a:rPr>
            <a:t>１１</a:t>
          </a:r>
          <a:endParaRPr 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a:t>
          </a:r>
          <a:r>
            <a:rPr lang="en-US" altLang="ja-JP" sz="900" b="0" i="0">
              <a:latin typeface="ＭＳ Ｐゴシック" pitchFamily="50" charset="-128"/>
              <a:ea typeface="ＭＳ Ｐゴシック" pitchFamily="50" charset="-128"/>
              <a:cs typeface="+mn-cs"/>
            </a:rPr>
            <a:t>KCI</a:t>
          </a:r>
          <a:r>
            <a:rPr lang="ja-JP" altLang="en-US" sz="900" b="0" i="0">
              <a:latin typeface="ＭＳ Ｐゴシック" pitchFamily="50" charset="-128"/>
              <a:ea typeface="ＭＳ Ｐゴシック" pitchFamily="50" charset="-128"/>
              <a:cs typeface="+mn-cs"/>
            </a:rPr>
            <a:t>平野町ビル８階</a:t>
          </a:r>
        </a:p>
        <a:p>
          <a:pPr rtl="0"/>
          <a:r>
            <a:rPr lang="ja-JP" altLang="en-US" sz="1100" b="0" i="0">
              <a:latin typeface="ＭＳ Ｐゴシック" pitchFamily="50" charset="-128"/>
              <a:ea typeface="ＭＳ Ｐゴシック" pitchFamily="50" charset="-128"/>
              <a:cs typeface="+mn-cs"/>
            </a:rPr>
            <a:t>     </a:t>
          </a:r>
          <a:r>
            <a:rPr lang="ja-JP" altLang="en-US" sz="1100" b="1" i="0">
              <a:latin typeface="ＭＳ Ｐゴシック" pitchFamily="50" charset="-128"/>
              <a:ea typeface="ＭＳ Ｐゴシック" pitchFamily="50" charset="-128"/>
              <a:cs typeface="+mn-cs"/>
            </a:rPr>
            <a:t>株式会社　トラスト</a:t>
          </a:r>
          <a:endParaRPr lang="ja-JP" altLang="en-US" sz="900" b="0" i="0">
            <a:latin typeface="ＭＳ Ｐゴシック" pitchFamily="50" charset="-128"/>
            <a:ea typeface="ＭＳ Ｐゴシック" pitchFamily="50" charset="-128"/>
            <a:cs typeface="+mn-cs"/>
          </a:endParaRPr>
        </a:p>
        <a:p>
          <a:pPr rtl="0">
            <a:lnSpc>
              <a:spcPts val="1100"/>
            </a:lnSpc>
          </a:pPr>
          <a:r>
            <a:rPr lang="ja-JP" altLang="en-US" sz="900" b="0" i="0">
              <a:latin typeface="ＭＳ Ｐゴシック" pitchFamily="50" charset="-128"/>
              <a:ea typeface="ＭＳ Ｐゴシック" pitchFamily="50" charset="-128"/>
              <a:cs typeface="+mn-cs"/>
            </a:rPr>
            <a:t>      電話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260</a:t>
          </a:r>
          <a:r>
            <a:rPr lang="en-US" altLang="ja-JP" sz="900" b="0" i="0">
              <a:latin typeface="ＭＳ Ｐゴシック" pitchFamily="50" charset="-128"/>
              <a:ea typeface="ＭＳ Ｐゴシック" pitchFamily="50" charset="-128"/>
              <a:cs typeface="+mn-cs"/>
            </a:rPr>
            <a:t>7</a:t>
          </a:r>
          <a:r>
            <a:rPr lang="ja-JP" altLang="en-US" sz="900" b="0" i="0">
              <a:latin typeface="ＭＳ Ｐゴシック" pitchFamily="50" charset="-128"/>
              <a:ea typeface="ＭＳ Ｐゴシック" pitchFamily="50" charset="-128"/>
              <a:cs typeface="+mn-cs"/>
            </a:rPr>
            <a:t>　（代表）</a:t>
          </a:r>
          <a:endParaRPr lang="ja-JP" sz="900">
            <a:latin typeface="ＭＳ Ｐゴシック" pitchFamily="50" charset="-128"/>
            <a:ea typeface="ＭＳ Ｐゴシック" pitchFamily="50" charset="-128"/>
          </a:endParaRPr>
        </a:p>
        <a:p>
          <a:pPr rtl="0">
            <a:lnSpc>
              <a:spcPts val="1100"/>
            </a:lnSpc>
          </a:pPr>
          <a:r>
            <a:rPr lang="ja-JP" altLang="en-US" sz="900" b="0" i="0">
              <a:latin typeface="ＭＳ Ｐゴシック" pitchFamily="50" charset="-128"/>
              <a:ea typeface="ＭＳ Ｐゴシック" pitchFamily="50" charset="-128"/>
              <a:cs typeface="+mn-cs"/>
            </a:rPr>
            <a:t>      ＦＡＸ　</a:t>
          </a:r>
          <a:r>
            <a:rPr lang="en-US" sz="900" b="0" i="0">
              <a:latin typeface="ＭＳ Ｐゴシック" pitchFamily="50" charset="-128"/>
              <a:ea typeface="ＭＳ Ｐゴシック" pitchFamily="50" charset="-128"/>
              <a:cs typeface="+mn-cs"/>
            </a:rPr>
            <a:t>06</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6208</a:t>
          </a:r>
          <a:r>
            <a:rPr lang="ja-JP" altLang="en-US" sz="900" b="0" i="0">
              <a:latin typeface="ＭＳ Ｐゴシック" pitchFamily="50" charset="-128"/>
              <a:ea typeface="ＭＳ Ｐゴシック" pitchFamily="50" charset="-128"/>
              <a:cs typeface="+mn-cs"/>
            </a:rPr>
            <a:t>）</a:t>
          </a:r>
          <a:r>
            <a:rPr lang="en-US" sz="900" b="0" i="0">
              <a:latin typeface="ＭＳ Ｐゴシック" pitchFamily="50" charset="-128"/>
              <a:ea typeface="ＭＳ Ｐゴシック" pitchFamily="50" charset="-128"/>
              <a:cs typeface="+mn-cs"/>
            </a:rPr>
            <a:t>2610</a:t>
          </a:r>
          <a:endParaRPr lang="ja-JP" sz="900">
            <a:latin typeface="ＭＳ Ｐゴシック" pitchFamily="50" charset="-128"/>
            <a:ea typeface="ＭＳ Ｐゴシック"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8EF2E-DC6E-4220-AEB5-BABF0CBB080A}">
  <sheetPr codeName="Sheet1"/>
  <dimension ref="A1:AD428"/>
  <sheetViews>
    <sheetView zoomScaleNormal="100" workbookViewId="0">
      <selection activeCell="AK24" sqref="AK24"/>
    </sheetView>
  </sheetViews>
  <sheetFormatPr defaultRowHeight="13.5" x14ac:dyDescent="0.15"/>
  <cols>
    <col min="1" max="1" width="3.625" style="3" customWidth="1"/>
    <col min="2" max="2" width="5.5" style="3" customWidth="1"/>
    <col min="3" max="3" width="5" style="3" customWidth="1"/>
    <col min="4" max="12" width="3.625" style="3" customWidth="1"/>
    <col min="13" max="13" width="4.875" style="3" customWidth="1"/>
    <col min="14" max="27" width="3.625" style="3" customWidth="1"/>
    <col min="28" max="28" width="3.75" style="3" customWidth="1"/>
    <col min="29" max="29" width="3.625" style="3" customWidth="1"/>
    <col min="30" max="30" width="3.625" style="3" hidden="1" customWidth="1"/>
    <col min="31" max="244" width="3.625" style="3" customWidth="1"/>
    <col min="245" max="256" width="9" style="3"/>
    <col min="257" max="257" width="3.625" style="3" customWidth="1"/>
    <col min="258" max="258" width="5.5" style="3" customWidth="1"/>
    <col min="259" max="259" width="5" style="3" customWidth="1"/>
    <col min="260" max="268" width="3.625" style="3" customWidth="1"/>
    <col min="269" max="269" width="4.875" style="3" customWidth="1"/>
    <col min="270" max="283" width="3.625" style="3" customWidth="1"/>
    <col min="284" max="284" width="3.75" style="3" customWidth="1"/>
    <col min="285" max="285" width="3.625" style="3" customWidth="1"/>
    <col min="286" max="286" width="0" style="3" hidden="1" customWidth="1"/>
    <col min="287" max="500" width="3.625" style="3" customWidth="1"/>
    <col min="501" max="512" width="9" style="3"/>
    <col min="513" max="513" width="3.625" style="3" customWidth="1"/>
    <col min="514" max="514" width="5.5" style="3" customWidth="1"/>
    <col min="515" max="515" width="5" style="3" customWidth="1"/>
    <col min="516" max="524" width="3.625" style="3" customWidth="1"/>
    <col min="525" max="525" width="4.875" style="3" customWidth="1"/>
    <col min="526" max="539" width="3.625" style="3" customWidth="1"/>
    <col min="540" max="540" width="3.75" style="3" customWidth="1"/>
    <col min="541" max="541" width="3.625" style="3" customWidth="1"/>
    <col min="542" max="542" width="0" style="3" hidden="1" customWidth="1"/>
    <col min="543" max="756" width="3.625" style="3" customWidth="1"/>
    <col min="757" max="768" width="9" style="3"/>
    <col min="769" max="769" width="3.625" style="3" customWidth="1"/>
    <col min="770" max="770" width="5.5" style="3" customWidth="1"/>
    <col min="771" max="771" width="5" style="3" customWidth="1"/>
    <col min="772" max="780" width="3.625" style="3" customWidth="1"/>
    <col min="781" max="781" width="4.875" style="3" customWidth="1"/>
    <col min="782" max="795" width="3.625" style="3" customWidth="1"/>
    <col min="796" max="796" width="3.75" style="3" customWidth="1"/>
    <col min="797" max="797" width="3.625" style="3" customWidth="1"/>
    <col min="798" max="798" width="0" style="3" hidden="1" customWidth="1"/>
    <col min="799" max="1012" width="3.625" style="3" customWidth="1"/>
    <col min="1013" max="1024" width="9" style="3"/>
    <col min="1025" max="1025" width="3.625" style="3" customWidth="1"/>
    <col min="1026" max="1026" width="5.5" style="3" customWidth="1"/>
    <col min="1027" max="1027" width="5" style="3" customWidth="1"/>
    <col min="1028" max="1036" width="3.625" style="3" customWidth="1"/>
    <col min="1037" max="1037" width="4.875" style="3" customWidth="1"/>
    <col min="1038" max="1051" width="3.625" style="3" customWidth="1"/>
    <col min="1052" max="1052" width="3.75" style="3" customWidth="1"/>
    <col min="1053" max="1053" width="3.625" style="3" customWidth="1"/>
    <col min="1054" max="1054" width="0" style="3" hidden="1" customWidth="1"/>
    <col min="1055" max="1268" width="3.625" style="3" customWidth="1"/>
    <col min="1269" max="1280" width="9" style="3"/>
    <col min="1281" max="1281" width="3.625" style="3" customWidth="1"/>
    <col min="1282" max="1282" width="5.5" style="3" customWidth="1"/>
    <col min="1283" max="1283" width="5" style="3" customWidth="1"/>
    <col min="1284" max="1292" width="3.625" style="3" customWidth="1"/>
    <col min="1293" max="1293" width="4.875" style="3" customWidth="1"/>
    <col min="1294" max="1307" width="3.625" style="3" customWidth="1"/>
    <col min="1308" max="1308" width="3.75" style="3" customWidth="1"/>
    <col min="1309" max="1309" width="3.625" style="3" customWidth="1"/>
    <col min="1310" max="1310" width="0" style="3" hidden="1" customWidth="1"/>
    <col min="1311" max="1524" width="3.625" style="3" customWidth="1"/>
    <col min="1525" max="1536" width="9" style="3"/>
    <col min="1537" max="1537" width="3.625" style="3" customWidth="1"/>
    <col min="1538" max="1538" width="5.5" style="3" customWidth="1"/>
    <col min="1539" max="1539" width="5" style="3" customWidth="1"/>
    <col min="1540" max="1548" width="3.625" style="3" customWidth="1"/>
    <col min="1549" max="1549" width="4.875" style="3" customWidth="1"/>
    <col min="1550" max="1563" width="3.625" style="3" customWidth="1"/>
    <col min="1564" max="1564" width="3.75" style="3" customWidth="1"/>
    <col min="1565" max="1565" width="3.625" style="3" customWidth="1"/>
    <col min="1566" max="1566" width="0" style="3" hidden="1" customWidth="1"/>
    <col min="1567" max="1780" width="3.625" style="3" customWidth="1"/>
    <col min="1781" max="1792" width="9" style="3"/>
    <col min="1793" max="1793" width="3.625" style="3" customWidth="1"/>
    <col min="1794" max="1794" width="5.5" style="3" customWidth="1"/>
    <col min="1795" max="1795" width="5" style="3" customWidth="1"/>
    <col min="1796" max="1804" width="3.625" style="3" customWidth="1"/>
    <col min="1805" max="1805" width="4.875" style="3" customWidth="1"/>
    <col min="1806" max="1819" width="3.625" style="3" customWidth="1"/>
    <col min="1820" max="1820" width="3.75" style="3" customWidth="1"/>
    <col min="1821" max="1821" width="3.625" style="3" customWidth="1"/>
    <col min="1822" max="1822" width="0" style="3" hidden="1" customWidth="1"/>
    <col min="1823" max="2036" width="3.625" style="3" customWidth="1"/>
    <col min="2037" max="2048" width="9" style="3"/>
    <col min="2049" max="2049" width="3.625" style="3" customWidth="1"/>
    <col min="2050" max="2050" width="5.5" style="3" customWidth="1"/>
    <col min="2051" max="2051" width="5" style="3" customWidth="1"/>
    <col min="2052" max="2060" width="3.625" style="3" customWidth="1"/>
    <col min="2061" max="2061" width="4.875" style="3" customWidth="1"/>
    <col min="2062" max="2075" width="3.625" style="3" customWidth="1"/>
    <col min="2076" max="2076" width="3.75" style="3" customWidth="1"/>
    <col min="2077" max="2077" width="3.625" style="3" customWidth="1"/>
    <col min="2078" max="2078" width="0" style="3" hidden="1" customWidth="1"/>
    <col min="2079" max="2292" width="3.625" style="3" customWidth="1"/>
    <col min="2293" max="2304" width="9" style="3"/>
    <col min="2305" max="2305" width="3.625" style="3" customWidth="1"/>
    <col min="2306" max="2306" width="5.5" style="3" customWidth="1"/>
    <col min="2307" max="2307" width="5" style="3" customWidth="1"/>
    <col min="2308" max="2316" width="3.625" style="3" customWidth="1"/>
    <col min="2317" max="2317" width="4.875" style="3" customWidth="1"/>
    <col min="2318" max="2331" width="3.625" style="3" customWidth="1"/>
    <col min="2332" max="2332" width="3.75" style="3" customWidth="1"/>
    <col min="2333" max="2333" width="3.625" style="3" customWidth="1"/>
    <col min="2334" max="2334" width="0" style="3" hidden="1" customWidth="1"/>
    <col min="2335" max="2548" width="3.625" style="3" customWidth="1"/>
    <col min="2549" max="2560" width="9" style="3"/>
    <col min="2561" max="2561" width="3.625" style="3" customWidth="1"/>
    <col min="2562" max="2562" width="5.5" style="3" customWidth="1"/>
    <col min="2563" max="2563" width="5" style="3" customWidth="1"/>
    <col min="2564" max="2572" width="3.625" style="3" customWidth="1"/>
    <col min="2573" max="2573" width="4.875" style="3" customWidth="1"/>
    <col min="2574" max="2587" width="3.625" style="3" customWidth="1"/>
    <col min="2588" max="2588" width="3.75" style="3" customWidth="1"/>
    <col min="2589" max="2589" width="3.625" style="3" customWidth="1"/>
    <col min="2590" max="2590" width="0" style="3" hidden="1" customWidth="1"/>
    <col min="2591" max="2804" width="3.625" style="3" customWidth="1"/>
    <col min="2805" max="2816" width="9" style="3"/>
    <col min="2817" max="2817" width="3.625" style="3" customWidth="1"/>
    <col min="2818" max="2818" width="5.5" style="3" customWidth="1"/>
    <col min="2819" max="2819" width="5" style="3" customWidth="1"/>
    <col min="2820" max="2828" width="3.625" style="3" customWidth="1"/>
    <col min="2829" max="2829" width="4.875" style="3" customWidth="1"/>
    <col min="2830" max="2843" width="3.625" style="3" customWidth="1"/>
    <col min="2844" max="2844" width="3.75" style="3" customWidth="1"/>
    <col min="2845" max="2845" width="3.625" style="3" customWidth="1"/>
    <col min="2846" max="2846" width="0" style="3" hidden="1" customWidth="1"/>
    <col min="2847" max="3060" width="3.625" style="3" customWidth="1"/>
    <col min="3061" max="3072" width="9" style="3"/>
    <col min="3073" max="3073" width="3.625" style="3" customWidth="1"/>
    <col min="3074" max="3074" width="5.5" style="3" customWidth="1"/>
    <col min="3075" max="3075" width="5" style="3" customWidth="1"/>
    <col min="3076" max="3084" width="3.625" style="3" customWidth="1"/>
    <col min="3085" max="3085" width="4.875" style="3" customWidth="1"/>
    <col min="3086" max="3099" width="3.625" style="3" customWidth="1"/>
    <col min="3100" max="3100" width="3.75" style="3" customWidth="1"/>
    <col min="3101" max="3101" width="3.625" style="3" customWidth="1"/>
    <col min="3102" max="3102" width="0" style="3" hidden="1" customWidth="1"/>
    <col min="3103" max="3316" width="3.625" style="3" customWidth="1"/>
    <col min="3317" max="3328" width="9" style="3"/>
    <col min="3329" max="3329" width="3.625" style="3" customWidth="1"/>
    <col min="3330" max="3330" width="5.5" style="3" customWidth="1"/>
    <col min="3331" max="3331" width="5" style="3" customWidth="1"/>
    <col min="3332" max="3340" width="3.625" style="3" customWidth="1"/>
    <col min="3341" max="3341" width="4.875" style="3" customWidth="1"/>
    <col min="3342" max="3355" width="3.625" style="3" customWidth="1"/>
    <col min="3356" max="3356" width="3.75" style="3" customWidth="1"/>
    <col min="3357" max="3357" width="3.625" style="3" customWidth="1"/>
    <col min="3358" max="3358" width="0" style="3" hidden="1" customWidth="1"/>
    <col min="3359" max="3572" width="3.625" style="3" customWidth="1"/>
    <col min="3573" max="3584" width="9" style="3"/>
    <col min="3585" max="3585" width="3.625" style="3" customWidth="1"/>
    <col min="3586" max="3586" width="5.5" style="3" customWidth="1"/>
    <col min="3587" max="3587" width="5" style="3" customWidth="1"/>
    <col min="3588" max="3596" width="3.625" style="3" customWidth="1"/>
    <col min="3597" max="3597" width="4.875" style="3" customWidth="1"/>
    <col min="3598" max="3611" width="3.625" style="3" customWidth="1"/>
    <col min="3612" max="3612" width="3.75" style="3" customWidth="1"/>
    <col min="3613" max="3613" width="3.625" style="3" customWidth="1"/>
    <col min="3614" max="3614" width="0" style="3" hidden="1" customWidth="1"/>
    <col min="3615" max="3828" width="3.625" style="3" customWidth="1"/>
    <col min="3829" max="3840" width="9" style="3"/>
    <col min="3841" max="3841" width="3.625" style="3" customWidth="1"/>
    <col min="3842" max="3842" width="5.5" style="3" customWidth="1"/>
    <col min="3843" max="3843" width="5" style="3" customWidth="1"/>
    <col min="3844" max="3852" width="3.625" style="3" customWidth="1"/>
    <col min="3853" max="3853" width="4.875" style="3" customWidth="1"/>
    <col min="3854" max="3867" width="3.625" style="3" customWidth="1"/>
    <col min="3868" max="3868" width="3.75" style="3" customWidth="1"/>
    <col min="3869" max="3869" width="3.625" style="3" customWidth="1"/>
    <col min="3870" max="3870" width="0" style="3" hidden="1" customWidth="1"/>
    <col min="3871" max="4084" width="3.625" style="3" customWidth="1"/>
    <col min="4085" max="4096" width="9" style="3"/>
    <col min="4097" max="4097" width="3.625" style="3" customWidth="1"/>
    <col min="4098" max="4098" width="5.5" style="3" customWidth="1"/>
    <col min="4099" max="4099" width="5" style="3" customWidth="1"/>
    <col min="4100" max="4108" width="3.625" style="3" customWidth="1"/>
    <col min="4109" max="4109" width="4.875" style="3" customWidth="1"/>
    <col min="4110" max="4123" width="3.625" style="3" customWidth="1"/>
    <col min="4124" max="4124" width="3.75" style="3" customWidth="1"/>
    <col min="4125" max="4125" width="3.625" style="3" customWidth="1"/>
    <col min="4126" max="4126" width="0" style="3" hidden="1" customWidth="1"/>
    <col min="4127" max="4340" width="3.625" style="3" customWidth="1"/>
    <col min="4341" max="4352" width="9" style="3"/>
    <col min="4353" max="4353" width="3.625" style="3" customWidth="1"/>
    <col min="4354" max="4354" width="5.5" style="3" customWidth="1"/>
    <col min="4355" max="4355" width="5" style="3" customWidth="1"/>
    <col min="4356" max="4364" width="3.625" style="3" customWidth="1"/>
    <col min="4365" max="4365" width="4.875" style="3" customWidth="1"/>
    <col min="4366" max="4379" width="3.625" style="3" customWidth="1"/>
    <col min="4380" max="4380" width="3.75" style="3" customWidth="1"/>
    <col min="4381" max="4381" width="3.625" style="3" customWidth="1"/>
    <col min="4382" max="4382" width="0" style="3" hidden="1" customWidth="1"/>
    <col min="4383" max="4596" width="3.625" style="3" customWidth="1"/>
    <col min="4597" max="4608" width="9" style="3"/>
    <col min="4609" max="4609" width="3.625" style="3" customWidth="1"/>
    <col min="4610" max="4610" width="5.5" style="3" customWidth="1"/>
    <col min="4611" max="4611" width="5" style="3" customWidth="1"/>
    <col min="4612" max="4620" width="3.625" style="3" customWidth="1"/>
    <col min="4621" max="4621" width="4.875" style="3" customWidth="1"/>
    <col min="4622" max="4635" width="3.625" style="3" customWidth="1"/>
    <col min="4636" max="4636" width="3.75" style="3" customWidth="1"/>
    <col min="4637" max="4637" width="3.625" style="3" customWidth="1"/>
    <col min="4638" max="4638" width="0" style="3" hidden="1" customWidth="1"/>
    <col min="4639" max="4852" width="3.625" style="3" customWidth="1"/>
    <col min="4853" max="4864" width="9" style="3"/>
    <col min="4865" max="4865" width="3.625" style="3" customWidth="1"/>
    <col min="4866" max="4866" width="5.5" style="3" customWidth="1"/>
    <col min="4867" max="4867" width="5" style="3" customWidth="1"/>
    <col min="4868" max="4876" width="3.625" style="3" customWidth="1"/>
    <col min="4877" max="4877" width="4.875" style="3" customWidth="1"/>
    <col min="4878" max="4891" width="3.625" style="3" customWidth="1"/>
    <col min="4892" max="4892" width="3.75" style="3" customWidth="1"/>
    <col min="4893" max="4893" width="3.625" style="3" customWidth="1"/>
    <col min="4894" max="4894" width="0" style="3" hidden="1" customWidth="1"/>
    <col min="4895" max="5108" width="3.625" style="3" customWidth="1"/>
    <col min="5109" max="5120" width="9" style="3"/>
    <col min="5121" max="5121" width="3.625" style="3" customWidth="1"/>
    <col min="5122" max="5122" width="5.5" style="3" customWidth="1"/>
    <col min="5123" max="5123" width="5" style="3" customWidth="1"/>
    <col min="5124" max="5132" width="3.625" style="3" customWidth="1"/>
    <col min="5133" max="5133" width="4.875" style="3" customWidth="1"/>
    <col min="5134" max="5147" width="3.625" style="3" customWidth="1"/>
    <col min="5148" max="5148" width="3.75" style="3" customWidth="1"/>
    <col min="5149" max="5149" width="3.625" style="3" customWidth="1"/>
    <col min="5150" max="5150" width="0" style="3" hidden="1" customWidth="1"/>
    <col min="5151" max="5364" width="3.625" style="3" customWidth="1"/>
    <col min="5365" max="5376" width="9" style="3"/>
    <col min="5377" max="5377" width="3.625" style="3" customWidth="1"/>
    <col min="5378" max="5378" width="5.5" style="3" customWidth="1"/>
    <col min="5379" max="5379" width="5" style="3" customWidth="1"/>
    <col min="5380" max="5388" width="3.625" style="3" customWidth="1"/>
    <col min="5389" max="5389" width="4.875" style="3" customWidth="1"/>
    <col min="5390" max="5403" width="3.625" style="3" customWidth="1"/>
    <col min="5404" max="5404" width="3.75" style="3" customWidth="1"/>
    <col min="5405" max="5405" width="3.625" style="3" customWidth="1"/>
    <col min="5406" max="5406" width="0" style="3" hidden="1" customWidth="1"/>
    <col min="5407" max="5620" width="3.625" style="3" customWidth="1"/>
    <col min="5621" max="5632" width="9" style="3"/>
    <col min="5633" max="5633" width="3.625" style="3" customWidth="1"/>
    <col min="5634" max="5634" width="5.5" style="3" customWidth="1"/>
    <col min="5635" max="5635" width="5" style="3" customWidth="1"/>
    <col min="5636" max="5644" width="3.625" style="3" customWidth="1"/>
    <col min="5645" max="5645" width="4.875" style="3" customWidth="1"/>
    <col min="5646" max="5659" width="3.625" style="3" customWidth="1"/>
    <col min="5660" max="5660" width="3.75" style="3" customWidth="1"/>
    <col min="5661" max="5661" width="3.625" style="3" customWidth="1"/>
    <col min="5662" max="5662" width="0" style="3" hidden="1" customWidth="1"/>
    <col min="5663" max="5876" width="3.625" style="3" customWidth="1"/>
    <col min="5877" max="5888" width="9" style="3"/>
    <col min="5889" max="5889" width="3.625" style="3" customWidth="1"/>
    <col min="5890" max="5890" width="5.5" style="3" customWidth="1"/>
    <col min="5891" max="5891" width="5" style="3" customWidth="1"/>
    <col min="5892" max="5900" width="3.625" style="3" customWidth="1"/>
    <col min="5901" max="5901" width="4.875" style="3" customWidth="1"/>
    <col min="5902" max="5915" width="3.625" style="3" customWidth="1"/>
    <col min="5916" max="5916" width="3.75" style="3" customWidth="1"/>
    <col min="5917" max="5917" width="3.625" style="3" customWidth="1"/>
    <col min="5918" max="5918" width="0" style="3" hidden="1" customWidth="1"/>
    <col min="5919" max="6132" width="3.625" style="3" customWidth="1"/>
    <col min="6133" max="6144" width="9" style="3"/>
    <col min="6145" max="6145" width="3.625" style="3" customWidth="1"/>
    <col min="6146" max="6146" width="5.5" style="3" customWidth="1"/>
    <col min="6147" max="6147" width="5" style="3" customWidth="1"/>
    <col min="6148" max="6156" width="3.625" style="3" customWidth="1"/>
    <col min="6157" max="6157" width="4.875" style="3" customWidth="1"/>
    <col min="6158" max="6171" width="3.625" style="3" customWidth="1"/>
    <col min="6172" max="6172" width="3.75" style="3" customWidth="1"/>
    <col min="6173" max="6173" width="3.625" style="3" customWidth="1"/>
    <col min="6174" max="6174" width="0" style="3" hidden="1" customWidth="1"/>
    <col min="6175" max="6388" width="3.625" style="3" customWidth="1"/>
    <col min="6389" max="6400" width="9" style="3"/>
    <col min="6401" max="6401" width="3.625" style="3" customWidth="1"/>
    <col min="6402" max="6402" width="5.5" style="3" customWidth="1"/>
    <col min="6403" max="6403" width="5" style="3" customWidth="1"/>
    <col min="6404" max="6412" width="3.625" style="3" customWidth="1"/>
    <col min="6413" max="6413" width="4.875" style="3" customWidth="1"/>
    <col min="6414" max="6427" width="3.625" style="3" customWidth="1"/>
    <col min="6428" max="6428" width="3.75" style="3" customWidth="1"/>
    <col min="6429" max="6429" width="3.625" style="3" customWidth="1"/>
    <col min="6430" max="6430" width="0" style="3" hidden="1" customWidth="1"/>
    <col min="6431" max="6644" width="3.625" style="3" customWidth="1"/>
    <col min="6645" max="6656" width="9" style="3"/>
    <col min="6657" max="6657" width="3.625" style="3" customWidth="1"/>
    <col min="6658" max="6658" width="5.5" style="3" customWidth="1"/>
    <col min="6659" max="6659" width="5" style="3" customWidth="1"/>
    <col min="6660" max="6668" width="3.625" style="3" customWidth="1"/>
    <col min="6669" max="6669" width="4.875" style="3" customWidth="1"/>
    <col min="6670" max="6683" width="3.625" style="3" customWidth="1"/>
    <col min="6684" max="6684" width="3.75" style="3" customWidth="1"/>
    <col min="6685" max="6685" width="3.625" style="3" customWidth="1"/>
    <col min="6686" max="6686" width="0" style="3" hidden="1" customWidth="1"/>
    <col min="6687" max="6900" width="3.625" style="3" customWidth="1"/>
    <col min="6901" max="6912" width="9" style="3"/>
    <col min="6913" max="6913" width="3.625" style="3" customWidth="1"/>
    <col min="6914" max="6914" width="5.5" style="3" customWidth="1"/>
    <col min="6915" max="6915" width="5" style="3" customWidth="1"/>
    <col min="6916" max="6924" width="3.625" style="3" customWidth="1"/>
    <col min="6925" max="6925" width="4.875" style="3" customWidth="1"/>
    <col min="6926" max="6939" width="3.625" style="3" customWidth="1"/>
    <col min="6940" max="6940" width="3.75" style="3" customWidth="1"/>
    <col min="6941" max="6941" width="3.625" style="3" customWidth="1"/>
    <col min="6942" max="6942" width="0" style="3" hidden="1" customWidth="1"/>
    <col min="6943" max="7156" width="3.625" style="3" customWidth="1"/>
    <col min="7157" max="7168" width="9" style="3"/>
    <col min="7169" max="7169" width="3.625" style="3" customWidth="1"/>
    <col min="7170" max="7170" width="5.5" style="3" customWidth="1"/>
    <col min="7171" max="7171" width="5" style="3" customWidth="1"/>
    <col min="7172" max="7180" width="3.625" style="3" customWidth="1"/>
    <col min="7181" max="7181" width="4.875" style="3" customWidth="1"/>
    <col min="7182" max="7195" width="3.625" style="3" customWidth="1"/>
    <col min="7196" max="7196" width="3.75" style="3" customWidth="1"/>
    <col min="7197" max="7197" width="3.625" style="3" customWidth="1"/>
    <col min="7198" max="7198" width="0" style="3" hidden="1" customWidth="1"/>
    <col min="7199" max="7412" width="3.625" style="3" customWidth="1"/>
    <col min="7413" max="7424" width="9" style="3"/>
    <col min="7425" max="7425" width="3.625" style="3" customWidth="1"/>
    <col min="7426" max="7426" width="5.5" style="3" customWidth="1"/>
    <col min="7427" max="7427" width="5" style="3" customWidth="1"/>
    <col min="7428" max="7436" width="3.625" style="3" customWidth="1"/>
    <col min="7437" max="7437" width="4.875" style="3" customWidth="1"/>
    <col min="7438" max="7451" width="3.625" style="3" customWidth="1"/>
    <col min="7452" max="7452" width="3.75" style="3" customWidth="1"/>
    <col min="7453" max="7453" width="3.625" style="3" customWidth="1"/>
    <col min="7454" max="7454" width="0" style="3" hidden="1" customWidth="1"/>
    <col min="7455" max="7668" width="3.625" style="3" customWidth="1"/>
    <col min="7669" max="7680" width="9" style="3"/>
    <col min="7681" max="7681" width="3.625" style="3" customWidth="1"/>
    <col min="7682" max="7682" width="5.5" style="3" customWidth="1"/>
    <col min="7683" max="7683" width="5" style="3" customWidth="1"/>
    <col min="7684" max="7692" width="3.625" style="3" customWidth="1"/>
    <col min="7693" max="7693" width="4.875" style="3" customWidth="1"/>
    <col min="7694" max="7707" width="3.625" style="3" customWidth="1"/>
    <col min="7708" max="7708" width="3.75" style="3" customWidth="1"/>
    <col min="7709" max="7709" width="3.625" style="3" customWidth="1"/>
    <col min="7710" max="7710" width="0" style="3" hidden="1" customWidth="1"/>
    <col min="7711" max="7924" width="3.625" style="3" customWidth="1"/>
    <col min="7925" max="7936" width="9" style="3"/>
    <col min="7937" max="7937" width="3.625" style="3" customWidth="1"/>
    <col min="7938" max="7938" width="5.5" style="3" customWidth="1"/>
    <col min="7939" max="7939" width="5" style="3" customWidth="1"/>
    <col min="7940" max="7948" width="3.625" style="3" customWidth="1"/>
    <col min="7949" max="7949" width="4.875" style="3" customWidth="1"/>
    <col min="7950" max="7963" width="3.625" style="3" customWidth="1"/>
    <col min="7964" max="7964" width="3.75" style="3" customWidth="1"/>
    <col min="7965" max="7965" width="3.625" style="3" customWidth="1"/>
    <col min="7966" max="7966" width="0" style="3" hidden="1" customWidth="1"/>
    <col min="7967" max="8180" width="3.625" style="3" customWidth="1"/>
    <col min="8181" max="8192" width="9" style="3"/>
    <col min="8193" max="8193" width="3.625" style="3" customWidth="1"/>
    <col min="8194" max="8194" width="5.5" style="3" customWidth="1"/>
    <col min="8195" max="8195" width="5" style="3" customWidth="1"/>
    <col min="8196" max="8204" width="3.625" style="3" customWidth="1"/>
    <col min="8205" max="8205" width="4.875" style="3" customWidth="1"/>
    <col min="8206" max="8219" width="3.625" style="3" customWidth="1"/>
    <col min="8220" max="8220" width="3.75" style="3" customWidth="1"/>
    <col min="8221" max="8221" width="3.625" style="3" customWidth="1"/>
    <col min="8222" max="8222" width="0" style="3" hidden="1" customWidth="1"/>
    <col min="8223" max="8436" width="3.625" style="3" customWidth="1"/>
    <col min="8437" max="8448" width="9" style="3"/>
    <col min="8449" max="8449" width="3.625" style="3" customWidth="1"/>
    <col min="8450" max="8450" width="5.5" style="3" customWidth="1"/>
    <col min="8451" max="8451" width="5" style="3" customWidth="1"/>
    <col min="8452" max="8460" width="3.625" style="3" customWidth="1"/>
    <col min="8461" max="8461" width="4.875" style="3" customWidth="1"/>
    <col min="8462" max="8475" width="3.625" style="3" customWidth="1"/>
    <col min="8476" max="8476" width="3.75" style="3" customWidth="1"/>
    <col min="8477" max="8477" width="3.625" style="3" customWidth="1"/>
    <col min="8478" max="8478" width="0" style="3" hidden="1" customWidth="1"/>
    <col min="8479" max="8692" width="3.625" style="3" customWidth="1"/>
    <col min="8693" max="8704" width="9" style="3"/>
    <col min="8705" max="8705" width="3.625" style="3" customWidth="1"/>
    <col min="8706" max="8706" width="5.5" style="3" customWidth="1"/>
    <col min="8707" max="8707" width="5" style="3" customWidth="1"/>
    <col min="8708" max="8716" width="3.625" style="3" customWidth="1"/>
    <col min="8717" max="8717" width="4.875" style="3" customWidth="1"/>
    <col min="8718" max="8731" width="3.625" style="3" customWidth="1"/>
    <col min="8732" max="8732" width="3.75" style="3" customWidth="1"/>
    <col min="8733" max="8733" width="3.625" style="3" customWidth="1"/>
    <col min="8734" max="8734" width="0" style="3" hidden="1" customWidth="1"/>
    <col min="8735" max="8948" width="3.625" style="3" customWidth="1"/>
    <col min="8949" max="8960" width="9" style="3"/>
    <col min="8961" max="8961" width="3.625" style="3" customWidth="1"/>
    <col min="8962" max="8962" width="5.5" style="3" customWidth="1"/>
    <col min="8963" max="8963" width="5" style="3" customWidth="1"/>
    <col min="8964" max="8972" width="3.625" style="3" customWidth="1"/>
    <col min="8973" max="8973" width="4.875" style="3" customWidth="1"/>
    <col min="8974" max="8987" width="3.625" style="3" customWidth="1"/>
    <col min="8988" max="8988" width="3.75" style="3" customWidth="1"/>
    <col min="8989" max="8989" width="3.625" style="3" customWidth="1"/>
    <col min="8990" max="8990" width="0" style="3" hidden="1" customWidth="1"/>
    <col min="8991" max="9204" width="3.625" style="3" customWidth="1"/>
    <col min="9205" max="9216" width="9" style="3"/>
    <col min="9217" max="9217" width="3.625" style="3" customWidth="1"/>
    <col min="9218" max="9218" width="5.5" style="3" customWidth="1"/>
    <col min="9219" max="9219" width="5" style="3" customWidth="1"/>
    <col min="9220" max="9228" width="3.625" style="3" customWidth="1"/>
    <col min="9229" max="9229" width="4.875" style="3" customWidth="1"/>
    <col min="9230" max="9243" width="3.625" style="3" customWidth="1"/>
    <col min="9244" max="9244" width="3.75" style="3" customWidth="1"/>
    <col min="9245" max="9245" width="3.625" style="3" customWidth="1"/>
    <col min="9246" max="9246" width="0" style="3" hidden="1" customWidth="1"/>
    <col min="9247" max="9460" width="3.625" style="3" customWidth="1"/>
    <col min="9461" max="9472" width="9" style="3"/>
    <col min="9473" max="9473" width="3.625" style="3" customWidth="1"/>
    <col min="9474" max="9474" width="5.5" style="3" customWidth="1"/>
    <col min="9475" max="9475" width="5" style="3" customWidth="1"/>
    <col min="9476" max="9484" width="3.625" style="3" customWidth="1"/>
    <col min="9485" max="9485" width="4.875" style="3" customWidth="1"/>
    <col min="9486" max="9499" width="3.625" style="3" customWidth="1"/>
    <col min="9500" max="9500" width="3.75" style="3" customWidth="1"/>
    <col min="9501" max="9501" width="3.625" style="3" customWidth="1"/>
    <col min="9502" max="9502" width="0" style="3" hidden="1" customWidth="1"/>
    <col min="9503" max="9716" width="3.625" style="3" customWidth="1"/>
    <col min="9717" max="9728" width="9" style="3"/>
    <col min="9729" max="9729" width="3.625" style="3" customWidth="1"/>
    <col min="9730" max="9730" width="5.5" style="3" customWidth="1"/>
    <col min="9731" max="9731" width="5" style="3" customWidth="1"/>
    <col min="9732" max="9740" width="3.625" style="3" customWidth="1"/>
    <col min="9741" max="9741" width="4.875" style="3" customWidth="1"/>
    <col min="9742" max="9755" width="3.625" style="3" customWidth="1"/>
    <col min="9756" max="9756" width="3.75" style="3" customWidth="1"/>
    <col min="9757" max="9757" width="3.625" style="3" customWidth="1"/>
    <col min="9758" max="9758" width="0" style="3" hidden="1" customWidth="1"/>
    <col min="9759" max="9972" width="3.625" style="3" customWidth="1"/>
    <col min="9973" max="9984" width="9" style="3"/>
    <col min="9985" max="9985" width="3.625" style="3" customWidth="1"/>
    <col min="9986" max="9986" width="5.5" style="3" customWidth="1"/>
    <col min="9987" max="9987" width="5" style="3" customWidth="1"/>
    <col min="9988" max="9996" width="3.625" style="3" customWidth="1"/>
    <col min="9997" max="9997" width="4.875" style="3" customWidth="1"/>
    <col min="9998" max="10011" width="3.625" style="3" customWidth="1"/>
    <col min="10012" max="10012" width="3.75" style="3" customWidth="1"/>
    <col min="10013" max="10013" width="3.625" style="3" customWidth="1"/>
    <col min="10014" max="10014" width="0" style="3" hidden="1" customWidth="1"/>
    <col min="10015" max="10228" width="3.625" style="3" customWidth="1"/>
    <col min="10229" max="10240" width="9" style="3"/>
    <col min="10241" max="10241" width="3.625" style="3" customWidth="1"/>
    <col min="10242" max="10242" width="5.5" style="3" customWidth="1"/>
    <col min="10243" max="10243" width="5" style="3" customWidth="1"/>
    <col min="10244" max="10252" width="3.625" style="3" customWidth="1"/>
    <col min="10253" max="10253" width="4.875" style="3" customWidth="1"/>
    <col min="10254" max="10267" width="3.625" style="3" customWidth="1"/>
    <col min="10268" max="10268" width="3.75" style="3" customWidth="1"/>
    <col min="10269" max="10269" width="3.625" style="3" customWidth="1"/>
    <col min="10270" max="10270" width="0" style="3" hidden="1" customWidth="1"/>
    <col min="10271" max="10484" width="3.625" style="3" customWidth="1"/>
    <col min="10485" max="10496" width="9" style="3"/>
    <col min="10497" max="10497" width="3.625" style="3" customWidth="1"/>
    <col min="10498" max="10498" width="5.5" style="3" customWidth="1"/>
    <col min="10499" max="10499" width="5" style="3" customWidth="1"/>
    <col min="10500" max="10508" width="3.625" style="3" customWidth="1"/>
    <col min="10509" max="10509" width="4.875" style="3" customWidth="1"/>
    <col min="10510" max="10523" width="3.625" style="3" customWidth="1"/>
    <col min="10524" max="10524" width="3.75" style="3" customWidth="1"/>
    <col min="10525" max="10525" width="3.625" style="3" customWidth="1"/>
    <col min="10526" max="10526" width="0" style="3" hidden="1" customWidth="1"/>
    <col min="10527" max="10740" width="3.625" style="3" customWidth="1"/>
    <col min="10741" max="10752" width="9" style="3"/>
    <col min="10753" max="10753" width="3.625" style="3" customWidth="1"/>
    <col min="10754" max="10754" width="5.5" style="3" customWidth="1"/>
    <col min="10755" max="10755" width="5" style="3" customWidth="1"/>
    <col min="10756" max="10764" width="3.625" style="3" customWidth="1"/>
    <col min="10765" max="10765" width="4.875" style="3" customWidth="1"/>
    <col min="10766" max="10779" width="3.625" style="3" customWidth="1"/>
    <col min="10780" max="10780" width="3.75" style="3" customWidth="1"/>
    <col min="10781" max="10781" width="3.625" style="3" customWidth="1"/>
    <col min="10782" max="10782" width="0" style="3" hidden="1" customWidth="1"/>
    <col min="10783" max="10996" width="3.625" style="3" customWidth="1"/>
    <col min="10997" max="11008" width="9" style="3"/>
    <col min="11009" max="11009" width="3.625" style="3" customWidth="1"/>
    <col min="11010" max="11010" width="5.5" style="3" customWidth="1"/>
    <col min="11011" max="11011" width="5" style="3" customWidth="1"/>
    <col min="11012" max="11020" width="3.625" style="3" customWidth="1"/>
    <col min="11021" max="11021" width="4.875" style="3" customWidth="1"/>
    <col min="11022" max="11035" width="3.625" style="3" customWidth="1"/>
    <col min="11036" max="11036" width="3.75" style="3" customWidth="1"/>
    <col min="11037" max="11037" width="3.625" style="3" customWidth="1"/>
    <col min="11038" max="11038" width="0" style="3" hidden="1" customWidth="1"/>
    <col min="11039" max="11252" width="3.625" style="3" customWidth="1"/>
    <col min="11253" max="11264" width="9" style="3"/>
    <col min="11265" max="11265" width="3.625" style="3" customWidth="1"/>
    <col min="11266" max="11266" width="5.5" style="3" customWidth="1"/>
    <col min="11267" max="11267" width="5" style="3" customWidth="1"/>
    <col min="11268" max="11276" width="3.625" style="3" customWidth="1"/>
    <col min="11277" max="11277" width="4.875" style="3" customWidth="1"/>
    <col min="11278" max="11291" width="3.625" style="3" customWidth="1"/>
    <col min="11292" max="11292" width="3.75" style="3" customWidth="1"/>
    <col min="11293" max="11293" width="3.625" style="3" customWidth="1"/>
    <col min="11294" max="11294" width="0" style="3" hidden="1" customWidth="1"/>
    <col min="11295" max="11508" width="3.625" style="3" customWidth="1"/>
    <col min="11509" max="11520" width="9" style="3"/>
    <col min="11521" max="11521" width="3.625" style="3" customWidth="1"/>
    <col min="11522" max="11522" width="5.5" style="3" customWidth="1"/>
    <col min="11523" max="11523" width="5" style="3" customWidth="1"/>
    <col min="11524" max="11532" width="3.625" style="3" customWidth="1"/>
    <col min="11533" max="11533" width="4.875" style="3" customWidth="1"/>
    <col min="11534" max="11547" width="3.625" style="3" customWidth="1"/>
    <col min="11548" max="11548" width="3.75" style="3" customWidth="1"/>
    <col min="11549" max="11549" width="3.625" style="3" customWidth="1"/>
    <col min="11550" max="11550" width="0" style="3" hidden="1" customWidth="1"/>
    <col min="11551" max="11764" width="3.625" style="3" customWidth="1"/>
    <col min="11765" max="11776" width="9" style="3"/>
    <col min="11777" max="11777" width="3.625" style="3" customWidth="1"/>
    <col min="11778" max="11778" width="5.5" style="3" customWidth="1"/>
    <col min="11779" max="11779" width="5" style="3" customWidth="1"/>
    <col min="11780" max="11788" width="3.625" style="3" customWidth="1"/>
    <col min="11789" max="11789" width="4.875" style="3" customWidth="1"/>
    <col min="11790" max="11803" width="3.625" style="3" customWidth="1"/>
    <col min="11804" max="11804" width="3.75" style="3" customWidth="1"/>
    <col min="11805" max="11805" width="3.625" style="3" customWidth="1"/>
    <col min="11806" max="11806" width="0" style="3" hidden="1" customWidth="1"/>
    <col min="11807" max="12020" width="3.625" style="3" customWidth="1"/>
    <col min="12021" max="12032" width="9" style="3"/>
    <col min="12033" max="12033" width="3.625" style="3" customWidth="1"/>
    <col min="12034" max="12034" width="5.5" style="3" customWidth="1"/>
    <col min="12035" max="12035" width="5" style="3" customWidth="1"/>
    <col min="12036" max="12044" width="3.625" style="3" customWidth="1"/>
    <col min="12045" max="12045" width="4.875" style="3" customWidth="1"/>
    <col min="12046" max="12059" width="3.625" style="3" customWidth="1"/>
    <col min="12060" max="12060" width="3.75" style="3" customWidth="1"/>
    <col min="12061" max="12061" width="3.625" style="3" customWidth="1"/>
    <col min="12062" max="12062" width="0" style="3" hidden="1" customWidth="1"/>
    <col min="12063" max="12276" width="3.625" style="3" customWidth="1"/>
    <col min="12277" max="12288" width="9" style="3"/>
    <col min="12289" max="12289" width="3.625" style="3" customWidth="1"/>
    <col min="12290" max="12290" width="5.5" style="3" customWidth="1"/>
    <col min="12291" max="12291" width="5" style="3" customWidth="1"/>
    <col min="12292" max="12300" width="3.625" style="3" customWidth="1"/>
    <col min="12301" max="12301" width="4.875" style="3" customWidth="1"/>
    <col min="12302" max="12315" width="3.625" style="3" customWidth="1"/>
    <col min="12316" max="12316" width="3.75" style="3" customWidth="1"/>
    <col min="12317" max="12317" width="3.625" style="3" customWidth="1"/>
    <col min="12318" max="12318" width="0" style="3" hidden="1" customWidth="1"/>
    <col min="12319" max="12532" width="3.625" style="3" customWidth="1"/>
    <col min="12533" max="12544" width="9" style="3"/>
    <col min="12545" max="12545" width="3.625" style="3" customWidth="1"/>
    <col min="12546" max="12546" width="5.5" style="3" customWidth="1"/>
    <col min="12547" max="12547" width="5" style="3" customWidth="1"/>
    <col min="12548" max="12556" width="3.625" style="3" customWidth="1"/>
    <col min="12557" max="12557" width="4.875" style="3" customWidth="1"/>
    <col min="12558" max="12571" width="3.625" style="3" customWidth="1"/>
    <col min="12572" max="12572" width="3.75" style="3" customWidth="1"/>
    <col min="12573" max="12573" width="3.625" style="3" customWidth="1"/>
    <col min="12574" max="12574" width="0" style="3" hidden="1" customWidth="1"/>
    <col min="12575" max="12788" width="3.625" style="3" customWidth="1"/>
    <col min="12789" max="12800" width="9" style="3"/>
    <col min="12801" max="12801" width="3.625" style="3" customWidth="1"/>
    <col min="12802" max="12802" width="5.5" style="3" customWidth="1"/>
    <col min="12803" max="12803" width="5" style="3" customWidth="1"/>
    <col min="12804" max="12812" width="3.625" style="3" customWidth="1"/>
    <col min="12813" max="12813" width="4.875" style="3" customWidth="1"/>
    <col min="12814" max="12827" width="3.625" style="3" customWidth="1"/>
    <col min="12828" max="12828" width="3.75" style="3" customWidth="1"/>
    <col min="12829" max="12829" width="3.625" style="3" customWidth="1"/>
    <col min="12830" max="12830" width="0" style="3" hidden="1" customWidth="1"/>
    <col min="12831" max="13044" width="3.625" style="3" customWidth="1"/>
    <col min="13045" max="13056" width="9" style="3"/>
    <col min="13057" max="13057" width="3.625" style="3" customWidth="1"/>
    <col min="13058" max="13058" width="5.5" style="3" customWidth="1"/>
    <col min="13059" max="13059" width="5" style="3" customWidth="1"/>
    <col min="13060" max="13068" width="3.625" style="3" customWidth="1"/>
    <col min="13069" max="13069" width="4.875" style="3" customWidth="1"/>
    <col min="13070" max="13083" width="3.625" style="3" customWidth="1"/>
    <col min="13084" max="13084" width="3.75" style="3" customWidth="1"/>
    <col min="13085" max="13085" width="3.625" style="3" customWidth="1"/>
    <col min="13086" max="13086" width="0" style="3" hidden="1" customWidth="1"/>
    <col min="13087" max="13300" width="3.625" style="3" customWidth="1"/>
    <col min="13301" max="13312" width="9" style="3"/>
    <col min="13313" max="13313" width="3.625" style="3" customWidth="1"/>
    <col min="13314" max="13314" width="5.5" style="3" customWidth="1"/>
    <col min="13315" max="13315" width="5" style="3" customWidth="1"/>
    <col min="13316" max="13324" width="3.625" style="3" customWidth="1"/>
    <col min="13325" max="13325" width="4.875" style="3" customWidth="1"/>
    <col min="13326" max="13339" width="3.625" style="3" customWidth="1"/>
    <col min="13340" max="13340" width="3.75" style="3" customWidth="1"/>
    <col min="13341" max="13341" width="3.625" style="3" customWidth="1"/>
    <col min="13342" max="13342" width="0" style="3" hidden="1" customWidth="1"/>
    <col min="13343" max="13556" width="3.625" style="3" customWidth="1"/>
    <col min="13557" max="13568" width="9" style="3"/>
    <col min="13569" max="13569" width="3.625" style="3" customWidth="1"/>
    <col min="13570" max="13570" width="5.5" style="3" customWidth="1"/>
    <col min="13571" max="13571" width="5" style="3" customWidth="1"/>
    <col min="13572" max="13580" width="3.625" style="3" customWidth="1"/>
    <col min="13581" max="13581" width="4.875" style="3" customWidth="1"/>
    <col min="13582" max="13595" width="3.625" style="3" customWidth="1"/>
    <col min="13596" max="13596" width="3.75" style="3" customWidth="1"/>
    <col min="13597" max="13597" width="3.625" style="3" customWidth="1"/>
    <col min="13598" max="13598" width="0" style="3" hidden="1" customWidth="1"/>
    <col min="13599" max="13812" width="3.625" style="3" customWidth="1"/>
    <col min="13813" max="13824" width="9" style="3"/>
    <col min="13825" max="13825" width="3.625" style="3" customWidth="1"/>
    <col min="13826" max="13826" width="5.5" style="3" customWidth="1"/>
    <col min="13827" max="13827" width="5" style="3" customWidth="1"/>
    <col min="13828" max="13836" width="3.625" style="3" customWidth="1"/>
    <col min="13837" max="13837" width="4.875" style="3" customWidth="1"/>
    <col min="13838" max="13851" width="3.625" style="3" customWidth="1"/>
    <col min="13852" max="13852" width="3.75" style="3" customWidth="1"/>
    <col min="13853" max="13853" width="3.625" style="3" customWidth="1"/>
    <col min="13854" max="13854" width="0" style="3" hidden="1" customWidth="1"/>
    <col min="13855" max="14068" width="3.625" style="3" customWidth="1"/>
    <col min="14069" max="14080" width="9" style="3"/>
    <col min="14081" max="14081" width="3.625" style="3" customWidth="1"/>
    <col min="14082" max="14082" width="5.5" style="3" customWidth="1"/>
    <col min="14083" max="14083" width="5" style="3" customWidth="1"/>
    <col min="14084" max="14092" width="3.625" style="3" customWidth="1"/>
    <col min="14093" max="14093" width="4.875" style="3" customWidth="1"/>
    <col min="14094" max="14107" width="3.625" style="3" customWidth="1"/>
    <col min="14108" max="14108" width="3.75" style="3" customWidth="1"/>
    <col min="14109" max="14109" width="3.625" style="3" customWidth="1"/>
    <col min="14110" max="14110" width="0" style="3" hidden="1" customWidth="1"/>
    <col min="14111" max="14324" width="3.625" style="3" customWidth="1"/>
    <col min="14325" max="14336" width="9" style="3"/>
    <col min="14337" max="14337" width="3.625" style="3" customWidth="1"/>
    <col min="14338" max="14338" width="5.5" style="3" customWidth="1"/>
    <col min="14339" max="14339" width="5" style="3" customWidth="1"/>
    <col min="14340" max="14348" width="3.625" style="3" customWidth="1"/>
    <col min="14349" max="14349" width="4.875" style="3" customWidth="1"/>
    <col min="14350" max="14363" width="3.625" style="3" customWidth="1"/>
    <col min="14364" max="14364" width="3.75" style="3" customWidth="1"/>
    <col min="14365" max="14365" width="3.625" style="3" customWidth="1"/>
    <col min="14366" max="14366" width="0" style="3" hidden="1" customWidth="1"/>
    <col min="14367" max="14580" width="3.625" style="3" customWidth="1"/>
    <col min="14581" max="14592" width="9" style="3"/>
    <col min="14593" max="14593" width="3.625" style="3" customWidth="1"/>
    <col min="14594" max="14594" width="5.5" style="3" customWidth="1"/>
    <col min="14595" max="14595" width="5" style="3" customWidth="1"/>
    <col min="14596" max="14604" width="3.625" style="3" customWidth="1"/>
    <col min="14605" max="14605" width="4.875" style="3" customWidth="1"/>
    <col min="14606" max="14619" width="3.625" style="3" customWidth="1"/>
    <col min="14620" max="14620" width="3.75" style="3" customWidth="1"/>
    <col min="14621" max="14621" width="3.625" style="3" customWidth="1"/>
    <col min="14622" max="14622" width="0" style="3" hidden="1" customWidth="1"/>
    <col min="14623" max="14836" width="3.625" style="3" customWidth="1"/>
    <col min="14837" max="14848" width="9" style="3"/>
    <col min="14849" max="14849" width="3.625" style="3" customWidth="1"/>
    <col min="14850" max="14850" width="5.5" style="3" customWidth="1"/>
    <col min="14851" max="14851" width="5" style="3" customWidth="1"/>
    <col min="14852" max="14860" width="3.625" style="3" customWidth="1"/>
    <col min="14861" max="14861" width="4.875" style="3" customWidth="1"/>
    <col min="14862" max="14875" width="3.625" style="3" customWidth="1"/>
    <col min="14876" max="14876" width="3.75" style="3" customWidth="1"/>
    <col min="14877" max="14877" width="3.625" style="3" customWidth="1"/>
    <col min="14878" max="14878" width="0" style="3" hidden="1" customWidth="1"/>
    <col min="14879" max="15092" width="3.625" style="3" customWidth="1"/>
    <col min="15093" max="15104" width="9" style="3"/>
    <col min="15105" max="15105" width="3.625" style="3" customWidth="1"/>
    <col min="15106" max="15106" width="5.5" style="3" customWidth="1"/>
    <col min="15107" max="15107" width="5" style="3" customWidth="1"/>
    <col min="15108" max="15116" width="3.625" style="3" customWidth="1"/>
    <col min="15117" max="15117" width="4.875" style="3" customWidth="1"/>
    <col min="15118" max="15131" width="3.625" style="3" customWidth="1"/>
    <col min="15132" max="15132" width="3.75" style="3" customWidth="1"/>
    <col min="15133" max="15133" width="3.625" style="3" customWidth="1"/>
    <col min="15134" max="15134" width="0" style="3" hidden="1" customWidth="1"/>
    <col min="15135" max="15348" width="3.625" style="3" customWidth="1"/>
    <col min="15349" max="15360" width="9" style="3"/>
    <col min="15361" max="15361" width="3.625" style="3" customWidth="1"/>
    <col min="15362" max="15362" width="5.5" style="3" customWidth="1"/>
    <col min="15363" max="15363" width="5" style="3" customWidth="1"/>
    <col min="15364" max="15372" width="3.625" style="3" customWidth="1"/>
    <col min="15373" max="15373" width="4.875" style="3" customWidth="1"/>
    <col min="15374" max="15387" width="3.625" style="3" customWidth="1"/>
    <col min="15388" max="15388" width="3.75" style="3" customWidth="1"/>
    <col min="15389" max="15389" width="3.625" style="3" customWidth="1"/>
    <col min="15390" max="15390" width="0" style="3" hidden="1" customWidth="1"/>
    <col min="15391" max="15604" width="3.625" style="3" customWidth="1"/>
    <col min="15605" max="15616" width="9" style="3"/>
    <col min="15617" max="15617" width="3.625" style="3" customWidth="1"/>
    <col min="15618" max="15618" width="5.5" style="3" customWidth="1"/>
    <col min="15619" max="15619" width="5" style="3" customWidth="1"/>
    <col min="15620" max="15628" width="3.625" style="3" customWidth="1"/>
    <col min="15629" max="15629" width="4.875" style="3" customWidth="1"/>
    <col min="15630" max="15643" width="3.625" style="3" customWidth="1"/>
    <col min="15644" max="15644" width="3.75" style="3" customWidth="1"/>
    <col min="15645" max="15645" width="3.625" style="3" customWidth="1"/>
    <col min="15646" max="15646" width="0" style="3" hidden="1" customWidth="1"/>
    <col min="15647" max="15860" width="3.625" style="3" customWidth="1"/>
    <col min="15861" max="15872" width="9" style="3"/>
    <col min="15873" max="15873" width="3.625" style="3" customWidth="1"/>
    <col min="15874" max="15874" width="5.5" style="3" customWidth="1"/>
    <col min="15875" max="15875" width="5" style="3" customWidth="1"/>
    <col min="15876" max="15884" width="3.625" style="3" customWidth="1"/>
    <col min="15885" max="15885" width="4.875" style="3" customWidth="1"/>
    <col min="15886" max="15899" width="3.625" style="3" customWidth="1"/>
    <col min="15900" max="15900" width="3.75" style="3" customWidth="1"/>
    <col min="15901" max="15901" width="3.625" style="3" customWidth="1"/>
    <col min="15902" max="15902" width="0" style="3" hidden="1" customWidth="1"/>
    <col min="15903" max="16116" width="3.625" style="3" customWidth="1"/>
    <col min="16117" max="16128" width="9" style="3"/>
    <col min="16129" max="16129" width="3.625" style="3" customWidth="1"/>
    <col min="16130" max="16130" width="5.5" style="3" customWidth="1"/>
    <col min="16131" max="16131" width="5" style="3" customWidth="1"/>
    <col min="16132" max="16140" width="3.625" style="3" customWidth="1"/>
    <col min="16141" max="16141" width="4.875" style="3" customWidth="1"/>
    <col min="16142" max="16155" width="3.625" style="3" customWidth="1"/>
    <col min="16156" max="16156" width="3.75" style="3" customWidth="1"/>
    <col min="16157" max="16157" width="3.625" style="3" customWidth="1"/>
    <col min="16158" max="16158" width="0" style="3" hidden="1" customWidth="1"/>
    <col min="16159" max="16372" width="3.625" style="3" customWidth="1"/>
    <col min="16373" max="16384" width="9" style="3"/>
  </cols>
  <sheetData>
    <row r="1" spans="1:28" s="2" customFormat="1" ht="14.25" x14ac:dyDescent="0.15">
      <c r="A1" s="373" t="s">
        <v>0</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row>
    <row r="4" spans="1:28" ht="15" customHeight="1" x14ac:dyDescent="0.15">
      <c r="A4" s="374" t="s">
        <v>1</v>
      </c>
      <c r="B4" s="374"/>
      <c r="C4" s="374"/>
      <c r="D4" s="374"/>
      <c r="E4" s="374"/>
      <c r="F4" s="374"/>
      <c r="G4" s="374"/>
      <c r="H4" s="374"/>
      <c r="I4" s="374"/>
      <c r="J4" s="374"/>
      <c r="K4" s="374"/>
      <c r="L4" s="374"/>
      <c r="M4" s="374"/>
      <c r="N4" s="374"/>
      <c r="O4" s="374"/>
      <c r="P4" s="374"/>
      <c r="Q4" s="374"/>
      <c r="R4" s="374"/>
      <c r="S4" s="374"/>
      <c r="T4" s="374"/>
      <c r="U4" s="374"/>
      <c r="V4" s="374"/>
      <c r="W4" s="374"/>
      <c r="X4" s="374"/>
      <c r="Y4" s="374"/>
      <c r="Z4" s="374"/>
      <c r="AA4" s="374"/>
      <c r="AB4" s="374"/>
    </row>
    <row r="5" spans="1:28" ht="15" customHeight="1" x14ac:dyDescent="0.15">
      <c r="A5" s="374"/>
      <c r="B5" s="374"/>
      <c r="C5" s="374"/>
      <c r="D5" s="374"/>
      <c r="E5" s="374"/>
      <c r="F5" s="374"/>
      <c r="G5" s="374"/>
      <c r="H5" s="374"/>
      <c r="I5" s="374"/>
      <c r="J5" s="374"/>
      <c r="K5" s="374"/>
      <c r="L5" s="374"/>
      <c r="M5" s="374"/>
      <c r="N5" s="374"/>
      <c r="O5" s="374"/>
      <c r="P5" s="374"/>
      <c r="Q5" s="374"/>
      <c r="R5" s="374"/>
      <c r="S5" s="374"/>
      <c r="T5" s="374"/>
      <c r="U5" s="374"/>
      <c r="V5" s="374"/>
      <c r="W5" s="374"/>
      <c r="X5" s="374"/>
      <c r="Y5" s="374"/>
      <c r="Z5" s="374"/>
      <c r="AA5" s="374"/>
      <c r="AB5" s="374"/>
    </row>
    <row r="6" spans="1:28" ht="29.25" customHeight="1" x14ac:dyDescent="0.15"/>
    <row r="7" spans="1:28" ht="23.25" customHeight="1" x14ac:dyDescent="0.15">
      <c r="E7" s="373" t="s">
        <v>2</v>
      </c>
      <c r="F7" s="373"/>
      <c r="G7" s="373"/>
      <c r="H7" s="375"/>
      <c r="I7" s="375"/>
      <c r="J7" s="375"/>
      <c r="K7" s="375"/>
      <c r="L7" s="375"/>
      <c r="M7" s="375"/>
      <c r="N7" s="375"/>
      <c r="O7" s="375"/>
      <c r="P7" s="375"/>
      <c r="Q7" s="375"/>
      <c r="R7" s="375"/>
      <c r="S7" s="375"/>
      <c r="T7" s="375"/>
      <c r="U7" s="375"/>
      <c r="V7" s="375"/>
      <c r="W7" s="375"/>
    </row>
    <row r="8" spans="1:28" ht="21" customHeight="1" x14ac:dyDescent="0.15">
      <c r="E8" s="373" t="s">
        <v>3</v>
      </c>
      <c r="F8" s="373"/>
      <c r="G8" s="373"/>
      <c r="H8" s="376"/>
      <c r="I8" s="376"/>
      <c r="J8" s="376"/>
      <c r="K8" s="376"/>
      <c r="L8" s="376"/>
      <c r="M8" s="376"/>
      <c r="N8" s="376"/>
      <c r="O8" s="376"/>
      <c r="P8" s="376"/>
      <c r="Q8" s="376"/>
      <c r="R8" s="376"/>
      <c r="S8" s="376"/>
      <c r="T8" s="376"/>
      <c r="U8" s="376"/>
      <c r="V8" s="376"/>
      <c r="W8" s="376"/>
    </row>
    <row r="9" spans="1:28" ht="16.899999999999999" customHeight="1" x14ac:dyDescent="0.15">
      <c r="E9" s="373"/>
      <c r="F9" s="373"/>
      <c r="G9" s="373"/>
      <c r="H9" s="377"/>
      <c r="I9" s="377"/>
      <c r="J9" s="377"/>
      <c r="K9" s="377"/>
      <c r="L9" s="377"/>
      <c r="M9" s="377"/>
      <c r="N9" s="377"/>
      <c r="O9" s="377"/>
      <c r="P9" s="377"/>
      <c r="Q9" s="377"/>
      <c r="R9" s="377"/>
      <c r="S9" s="377"/>
      <c r="T9" s="377"/>
      <c r="U9" s="377"/>
      <c r="V9" s="377"/>
      <c r="W9" s="377"/>
    </row>
    <row r="10" spans="1:28" ht="21" customHeight="1" x14ac:dyDescent="0.15">
      <c r="E10" s="373" t="s">
        <v>4</v>
      </c>
      <c r="F10" s="373"/>
      <c r="G10" s="373"/>
      <c r="H10" s="375"/>
      <c r="I10" s="375"/>
      <c r="J10" s="375"/>
      <c r="K10" s="375"/>
      <c r="L10" s="375"/>
      <c r="M10" s="375"/>
      <c r="N10" s="375"/>
      <c r="O10" s="375"/>
      <c r="P10" s="375"/>
      <c r="Q10" s="375"/>
      <c r="R10" s="375"/>
      <c r="S10" s="375"/>
      <c r="T10" s="375"/>
      <c r="U10" s="375"/>
      <c r="V10" s="375"/>
      <c r="W10" s="375"/>
    </row>
    <row r="11" spans="1:28" ht="12.75" customHeight="1" x14ac:dyDescent="0.15"/>
    <row r="12" spans="1:28" ht="8.25" customHeight="1" x14ac:dyDescent="0.15"/>
    <row r="13" spans="1:28" ht="15.6" customHeight="1" x14ac:dyDescent="0.15">
      <c r="A13" s="4"/>
      <c r="B13" s="378" t="s">
        <v>5</v>
      </c>
      <c r="C13" s="378"/>
      <c r="D13" s="378"/>
      <c r="E13" s="379" t="s">
        <v>6</v>
      </c>
      <c r="F13" s="379"/>
      <c r="G13" s="379"/>
      <c r="H13" s="379"/>
      <c r="I13" s="379" t="s">
        <v>7</v>
      </c>
      <c r="J13" s="379"/>
      <c r="K13" s="379"/>
      <c r="L13" s="379"/>
      <c r="M13" s="379" t="s">
        <v>8</v>
      </c>
      <c r="N13" s="379"/>
      <c r="O13" s="379"/>
      <c r="P13" s="379"/>
      <c r="Q13" s="379" t="s">
        <v>9</v>
      </c>
      <c r="R13" s="379"/>
      <c r="S13" s="379"/>
      <c r="T13" s="379" t="s">
        <v>10</v>
      </c>
      <c r="U13" s="379"/>
      <c r="V13" s="379"/>
      <c r="W13" s="379"/>
      <c r="X13" s="379"/>
      <c r="Y13" s="378" t="s">
        <v>11</v>
      </c>
      <c r="Z13" s="378"/>
      <c r="AA13" s="378"/>
      <c r="AB13" s="5"/>
    </row>
    <row r="14" spans="1:28" ht="6" customHeight="1" x14ac:dyDescent="0.15">
      <c r="B14" s="6"/>
      <c r="C14" s="6"/>
      <c r="D14" s="6"/>
      <c r="E14" s="6"/>
      <c r="F14" s="6"/>
      <c r="G14" s="6"/>
      <c r="H14" s="6"/>
      <c r="I14" s="6"/>
      <c r="J14" s="6"/>
      <c r="K14" s="6"/>
      <c r="L14" s="6"/>
      <c r="M14" s="6"/>
      <c r="N14" s="6"/>
      <c r="O14" s="6"/>
      <c r="P14" s="6"/>
      <c r="Q14" s="6"/>
      <c r="R14" s="6"/>
      <c r="S14" s="6"/>
      <c r="T14" s="6"/>
      <c r="U14" s="6"/>
      <c r="V14" s="6"/>
      <c r="W14" s="6"/>
      <c r="X14" s="6"/>
      <c r="Y14" s="6"/>
      <c r="Z14" s="6"/>
      <c r="AA14" s="6"/>
    </row>
    <row r="15" spans="1:28" ht="20.100000000000001" customHeight="1" x14ac:dyDescent="0.15">
      <c r="B15" s="371"/>
      <c r="C15" s="371"/>
      <c r="D15" s="371"/>
      <c r="E15" s="372"/>
      <c r="F15" s="372"/>
      <c r="G15" s="372"/>
      <c r="H15" s="372"/>
      <c r="I15" s="372"/>
      <c r="J15" s="372"/>
      <c r="K15" s="372"/>
      <c r="L15" s="372"/>
      <c r="M15" s="372"/>
      <c r="N15" s="372"/>
      <c r="O15" s="372"/>
      <c r="P15" s="372"/>
      <c r="Q15" s="372"/>
      <c r="R15" s="372"/>
      <c r="S15" s="372"/>
      <c r="T15" s="372"/>
      <c r="U15" s="372"/>
      <c r="V15" s="372"/>
      <c r="W15" s="372"/>
      <c r="X15" s="372"/>
      <c r="Y15" s="370"/>
      <c r="Z15" s="370"/>
      <c r="AA15" s="370"/>
    </row>
    <row r="16" spans="1:28" ht="20.100000000000001" customHeight="1" x14ac:dyDescent="0.15">
      <c r="B16" s="371"/>
      <c r="C16" s="371"/>
      <c r="D16" s="371"/>
      <c r="E16" s="372"/>
      <c r="F16" s="372"/>
      <c r="G16" s="372"/>
      <c r="H16" s="372"/>
      <c r="I16" s="372"/>
      <c r="J16" s="372"/>
      <c r="K16" s="372"/>
      <c r="L16" s="372"/>
      <c r="M16" s="372"/>
      <c r="N16" s="372"/>
      <c r="O16" s="372"/>
      <c r="P16" s="372"/>
      <c r="Q16" s="372"/>
      <c r="R16" s="372"/>
      <c r="S16" s="372"/>
      <c r="T16" s="372"/>
      <c r="U16" s="372"/>
      <c r="V16" s="372"/>
      <c r="W16" s="372"/>
      <c r="X16" s="372"/>
      <c r="Y16" s="370"/>
      <c r="Z16" s="370"/>
      <c r="AA16" s="370"/>
    </row>
    <row r="17" spans="2:27" ht="20.100000000000001" customHeight="1" x14ac:dyDescent="0.15">
      <c r="B17" s="371"/>
      <c r="C17" s="371"/>
      <c r="D17" s="371"/>
      <c r="E17" s="372"/>
      <c r="F17" s="372"/>
      <c r="G17" s="372"/>
      <c r="H17" s="372"/>
      <c r="I17" s="372"/>
      <c r="J17" s="372"/>
      <c r="K17" s="372"/>
      <c r="L17" s="372"/>
      <c r="M17" s="372"/>
      <c r="N17" s="372"/>
      <c r="O17" s="372"/>
      <c r="P17" s="372"/>
      <c r="Q17" s="372"/>
      <c r="R17" s="372"/>
      <c r="S17" s="372"/>
      <c r="T17" s="372"/>
      <c r="U17" s="372"/>
      <c r="V17" s="372"/>
      <c r="W17" s="372"/>
      <c r="X17" s="372"/>
      <c r="Y17" s="370"/>
      <c r="Z17" s="370"/>
      <c r="AA17" s="370"/>
    </row>
    <row r="18" spans="2:27" ht="20.100000000000001" customHeight="1" x14ac:dyDescent="0.15">
      <c r="B18" s="371"/>
      <c r="C18" s="371"/>
      <c r="D18" s="371"/>
      <c r="E18" s="372"/>
      <c r="F18" s="372"/>
      <c r="G18" s="372"/>
      <c r="H18" s="372"/>
      <c r="I18" s="372"/>
      <c r="J18" s="372"/>
      <c r="K18" s="372"/>
      <c r="L18" s="372"/>
      <c r="M18" s="372"/>
      <c r="N18" s="372"/>
      <c r="O18" s="372"/>
      <c r="P18" s="372"/>
      <c r="Q18" s="372"/>
      <c r="R18" s="372"/>
      <c r="S18" s="372"/>
      <c r="T18" s="372"/>
      <c r="U18" s="372"/>
      <c r="V18" s="372"/>
      <c r="W18" s="372"/>
      <c r="X18" s="372"/>
      <c r="Y18" s="370"/>
      <c r="Z18" s="370"/>
      <c r="AA18" s="370"/>
    </row>
    <row r="19" spans="2:27" ht="20.100000000000001" customHeight="1" x14ac:dyDescent="0.15">
      <c r="B19" s="371"/>
      <c r="C19" s="371"/>
      <c r="D19" s="371"/>
      <c r="E19" s="372"/>
      <c r="F19" s="372"/>
      <c r="G19" s="372"/>
      <c r="H19" s="372"/>
      <c r="I19" s="372"/>
      <c r="J19" s="372"/>
      <c r="K19" s="372"/>
      <c r="L19" s="372"/>
      <c r="M19" s="372"/>
      <c r="N19" s="372"/>
      <c r="O19" s="372"/>
      <c r="P19" s="372"/>
      <c r="Q19" s="372"/>
      <c r="R19" s="372"/>
      <c r="S19" s="372"/>
      <c r="T19" s="372"/>
      <c r="U19" s="372"/>
      <c r="V19" s="372"/>
      <c r="W19" s="372"/>
      <c r="X19" s="372"/>
      <c r="Y19" s="370"/>
      <c r="Z19" s="370"/>
      <c r="AA19" s="370"/>
    </row>
    <row r="20" spans="2:27" ht="20.100000000000001" customHeight="1" x14ac:dyDescent="0.15">
      <c r="B20" s="371"/>
      <c r="C20" s="371"/>
      <c r="D20" s="371"/>
      <c r="E20" s="372"/>
      <c r="F20" s="372"/>
      <c r="G20" s="372"/>
      <c r="H20" s="372"/>
      <c r="I20" s="372"/>
      <c r="J20" s="372"/>
      <c r="K20" s="372"/>
      <c r="L20" s="372"/>
      <c r="M20" s="372"/>
      <c r="N20" s="372"/>
      <c r="O20" s="372"/>
      <c r="P20" s="372"/>
      <c r="Q20" s="372"/>
      <c r="R20" s="372"/>
      <c r="S20" s="372"/>
      <c r="T20" s="372"/>
      <c r="U20" s="372"/>
      <c r="V20" s="372"/>
      <c r="W20" s="372"/>
      <c r="X20" s="372"/>
      <c r="Y20" s="370"/>
      <c r="Z20" s="370"/>
      <c r="AA20" s="370"/>
    </row>
    <row r="21" spans="2:27" ht="20.100000000000001" customHeight="1" x14ac:dyDescent="0.15">
      <c r="B21" s="371"/>
      <c r="C21" s="371"/>
      <c r="D21" s="371"/>
      <c r="E21" s="372"/>
      <c r="F21" s="372"/>
      <c r="G21" s="372"/>
      <c r="H21" s="372"/>
      <c r="I21" s="372"/>
      <c r="J21" s="372"/>
      <c r="K21" s="372"/>
      <c r="L21" s="372"/>
      <c r="M21" s="372"/>
      <c r="N21" s="372"/>
      <c r="O21" s="372"/>
      <c r="P21" s="372"/>
      <c r="Q21" s="372"/>
      <c r="R21" s="372"/>
      <c r="S21" s="372"/>
      <c r="T21" s="372"/>
      <c r="U21" s="372"/>
      <c r="V21" s="372"/>
      <c r="W21" s="372"/>
      <c r="X21" s="372"/>
      <c r="Y21" s="370"/>
      <c r="Z21" s="370"/>
      <c r="AA21" s="370"/>
    </row>
    <row r="22" spans="2:27" ht="20.100000000000001" customHeight="1" x14ac:dyDescent="0.15">
      <c r="B22" s="371"/>
      <c r="C22" s="371"/>
      <c r="D22" s="371"/>
      <c r="E22" s="372"/>
      <c r="F22" s="372"/>
      <c r="G22" s="372"/>
      <c r="H22" s="372"/>
      <c r="I22" s="372"/>
      <c r="J22" s="372"/>
      <c r="K22" s="372"/>
      <c r="L22" s="372"/>
      <c r="M22" s="372"/>
      <c r="N22" s="372"/>
      <c r="O22" s="372"/>
      <c r="P22" s="372"/>
      <c r="Q22" s="372"/>
      <c r="R22" s="372"/>
      <c r="S22" s="372"/>
      <c r="T22" s="372"/>
      <c r="U22" s="372"/>
      <c r="V22" s="372"/>
      <c r="W22" s="372"/>
      <c r="X22" s="372"/>
      <c r="Y22" s="370"/>
      <c r="Z22" s="370"/>
      <c r="AA22" s="370"/>
    </row>
    <row r="23" spans="2:27" ht="20.100000000000001" customHeight="1" x14ac:dyDescent="0.15">
      <c r="B23" s="371"/>
      <c r="C23" s="371"/>
      <c r="D23" s="371"/>
      <c r="E23" s="372"/>
      <c r="F23" s="372"/>
      <c r="G23" s="372"/>
      <c r="H23" s="372"/>
      <c r="I23" s="372"/>
      <c r="J23" s="372"/>
      <c r="K23" s="372"/>
      <c r="L23" s="372"/>
      <c r="M23" s="372"/>
      <c r="N23" s="372"/>
      <c r="O23" s="372"/>
      <c r="P23" s="372"/>
      <c r="Q23" s="372"/>
      <c r="R23" s="372"/>
      <c r="S23" s="372"/>
      <c r="T23" s="372"/>
      <c r="U23" s="372"/>
      <c r="V23" s="372"/>
      <c r="W23" s="372"/>
      <c r="X23" s="372"/>
      <c r="Y23" s="370"/>
      <c r="Z23" s="370"/>
      <c r="AA23" s="370"/>
    </row>
    <row r="24" spans="2:27" ht="20.100000000000001" customHeight="1" x14ac:dyDescent="0.15">
      <c r="B24" s="371"/>
      <c r="C24" s="371"/>
      <c r="D24" s="371"/>
      <c r="E24" s="372"/>
      <c r="F24" s="372"/>
      <c r="G24" s="372"/>
      <c r="H24" s="372"/>
      <c r="I24" s="372"/>
      <c r="J24" s="372"/>
      <c r="K24" s="372"/>
      <c r="L24" s="372"/>
      <c r="M24" s="372"/>
      <c r="N24" s="372"/>
      <c r="O24" s="372"/>
      <c r="P24" s="372"/>
      <c r="Q24" s="372"/>
      <c r="R24" s="372"/>
      <c r="S24" s="372"/>
      <c r="T24" s="372"/>
      <c r="U24" s="372"/>
      <c r="V24" s="372"/>
      <c r="W24" s="372"/>
      <c r="X24" s="372"/>
      <c r="Y24" s="370"/>
      <c r="Z24" s="370"/>
      <c r="AA24" s="370"/>
    </row>
    <row r="25" spans="2:27" ht="20.100000000000001" customHeight="1" x14ac:dyDescent="0.15">
      <c r="B25" s="371"/>
      <c r="C25" s="371"/>
      <c r="D25" s="371"/>
      <c r="E25" s="372"/>
      <c r="F25" s="372"/>
      <c r="G25" s="372"/>
      <c r="H25" s="372"/>
      <c r="I25" s="372"/>
      <c r="J25" s="372"/>
      <c r="K25" s="372"/>
      <c r="L25" s="372"/>
      <c r="M25" s="372"/>
      <c r="N25" s="372"/>
      <c r="O25" s="372"/>
      <c r="P25" s="372"/>
      <c r="Q25" s="372"/>
      <c r="R25" s="372"/>
      <c r="S25" s="372"/>
      <c r="T25" s="372"/>
      <c r="U25" s="372"/>
      <c r="V25" s="372"/>
      <c r="W25" s="372"/>
      <c r="X25" s="372"/>
      <c r="Y25" s="370"/>
      <c r="Z25" s="370"/>
      <c r="AA25" s="370"/>
    </row>
    <row r="26" spans="2:27" ht="20.100000000000001" customHeight="1" x14ac:dyDescent="0.15">
      <c r="B26" s="371"/>
      <c r="C26" s="371"/>
      <c r="D26" s="371"/>
      <c r="E26" s="372"/>
      <c r="F26" s="372"/>
      <c r="G26" s="372"/>
      <c r="H26" s="372"/>
      <c r="I26" s="372"/>
      <c r="J26" s="372"/>
      <c r="K26" s="372"/>
      <c r="L26" s="372"/>
      <c r="M26" s="372"/>
      <c r="N26" s="372"/>
      <c r="O26" s="372"/>
      <c r="P26" s="372"/>
      <c r="Q26" s="372"/>
      <c r="R26" s="372"/>
      <c r="S26" s="372"/>
      <c r="T26" s="372"/>
      <c r="U26" s="372"/>
      <c r="V26" s="372"/>
      <c r="W26" s="372"/>
      <c r="X26" s="372"/>
      <c r="Y26" s="370"/>
      <c r="Z26" s="370"/>
      <c r="AA26" s="370"/>
    </row>
    <row r="27" spans="2:27" ht="20.100000000000001" customHeight="1" x14ac:dyDescent="0.15">
      <c r="B27" s="371"/>
      <c r="C27" s="371"/>
      <c r="D27" s="371"/>
      <c r="E27" s="372"/>
      <c r="F27" s="372"/>
      <c r="G27" s="372"/>
      <c r="H27" s="372"/>
      <c r="I27" s="372"/>
      <c r="J27" s="372"/>
      <c r="K27" s="372"/>
      <c r="L27" s="372"/>
      <c r="M27" s="372"/>
      <c r="N27" s="372"/>
      <c r="O27" s="372"/>
      <c r="P27" s="372"/>
      <c r="Q27" s="372"/>
      <c r="R27" s="372"/>
      <c r="S27" s="372"/>
      <c r="T27" s="372"/>
      <c r="U27" s="372"/>
      <c r="V27" s="372"/>
      <c r="W27" s="372"/>
      <c r="X27" s="372"/>
      <c r="Y27" s="370"/>
      <c r="Z27" s="370"/>
      <c r="AA27" s="370"/>
    </row>
    <row r="28" spans="2:27" ht="20.100000000000001" customHeight="1" x14ac:dyDescent="0.15">
      <c r="B28" s="371"/>
      <c r="C28" s="371"/>
      <c r="D28" s="371"/>
      <c r="E28" s="372"/>
      <c r="F28" s="372"/>
      <c r="G28" s="372"/>
      <c r="H28" s="372"/>
      <c r="I28" s="372"/>
      <c r="J28" s="372"/>
      <c r="K28" s="372"/>
      <c r="L28" s="372"/>
      <c r="M28" s="372"/>
      <c r="N28" s="372"/>
      <c r="O28" s="372"/>
      <c r="P28" s="372"/>
      <c r="Q28" s="372"/>
      <c r="R28" s="372"/>
      <c r="S28" s="372"/>
      <c r="T28" s="372"/>
      <c r="U28" s="372"/>
      <c r="V28" s="372"/>
      <c r="W28" s="372"/>
      <c r="X28" s="372"/>
      <c r="Y28" s="370"/>
      <c r="Z28" s="370"/>
      <c r="AA28" s="370"/>
    </row>
    <row r="29" spans="2:27" ht="20.100000000000001" customHeight="1" x14ac:dyDescent="0.15">
      <c r="B29" s="371"/>
      <c r="C29" s="371"/>
      <c r="D29" s="371"/>
      <c r="E29" s="372"/>
      <c r="F29" s="372"/>
      <c r="G29" s="372"/>
      <c r="H29" s="372"/>
      <c r="I29" s="372"/>
      <c r="J29" s="372"/>
      <c r="K29" s="372"/>
      <c r="L29" s="372"/>
      <c r="M29" s="372"/>
      <c r="N29" s="372"/>
      <c r="O29" s="372"/>
      <c r="P29" s="372"/>
      <c r="Q29" s="372"/>
      <c r="R29" s="372"/>
      <c r="S29" s="372"/>
      <c r="T29" s="372"/>
      <c r="U29" s="372"/>
      <c r="V29" s="372"/>
      <c r="W29" s="372"/>
      <c r="X29" s="372"/>
      <c r="Y29" s="370"/>
      <c r="Z29" s="370"/>
      <c r="AA29" s="370"/>
    </row>
    <row r="30" spans="2:27" ht="20.100000000000001" customHeight="1" x14ac:dyDescent="0.15">
      <c r="B30" s="371"/>
      <c r="C30" s="371"/>
      <c r="D30" s="371"/>
      <c r="E30" s="372"/>
      <c r="F30" s="372"/>
      <c r="G30" s="372"/>
      <c r="H30" s="372"/>
      <c r="I30" s="372"/>
      <c r="J30" s="372"/>
      <c r="K30" s="372"/>
      <c r="L30" s="372"/>
      <c r="M30" s="372"/>
      <c r="N30" s="372"/>
      <c r="O30" s="372"/>
      <c r="P30" s="372"/>
      <c r="Q30" s="372"/>
      <c r="R30" s="372"/>
      <c r="S30" s="372"/>
      <c r="T30" s="372"/>
      <c r="U30" s="372"/>
      <c r="V30" s="372"/>
      <c r="W30" s="372"/>
      <c r="X30" s="372"/>
      <c r="Y30" s="370"/>
      <c r="Z30" s="370"/>
      <c r="AA30" s="370"/>
    </row>
    <row r="31" spans="2:27" ht="20.100000000000001" customHeight="1" x14ac:dyDescent="0.15">
      <c r="B31" s="371"/>
      <c r="C31" s="371"/>
      <c r="D31" s="371"/>
      <c r="E31" s="372"/>
      <c r="F31" s="372"/>
      <c r="G31" s="372"/>
      <c r="H31" s="372"/>
      <c r="I31" s="372"/>
      <c r="J31" s="372"/>
      <c r="K31" s="372"/>
      <c r="L31" s="372"/>
      <c r="M31" s="372"/>
      <c r="N31" s="372"/>
      <c r="O31" s="372"/>
      <c r="P31" s="372"/>
      <c r="Q31" s="372"/>
      <c r="R31" s="372"/>
      <c r="S31" s="372"/>
      <c r="T31" s="372"/>
      <c r="U31" s="372"/>
      <c r="V31" s="372"/>
      <c r="W31" s="372"/>
      <c r="X31" s="372"/>
      <c r="Y31" s="370"/>
      <c r="Z31" s="370"/>
      <c r="AA31" s="370"/>
    </row>
    <row r="32" spans="2:27" ht="20.100000000000001" customHeight="1" x14ac:dyDescent="0.15">
      <c r="B32" s="371"/>
      <c r="C32" s="371"/>
      <c r="D32" s="371"/>
      <c r="E32" s="372"/>
      <c r="F32" s="372"/>
      <c r="G32" s="372"/>
      <c r="H32" s="372"/>
      <c r="I32" s="372"/>
      <c r="J32" s="372"/>
      <c r="K32" s="372"/>
      <c r="L32" s="372"/>
      <c r="M32" s="372"/>
      <c r="N32" s="372"/>
      <c r="O32" s="372"/>
      <c r="P32" s="372"/>
      <c r="Q32" s="372"/>
      <c r="R32" s="372"/>
      <c r="S32" s="372"/>
      <c r="T32" s="372"/>
      <c r="U32" s="372"/>
      <c r="V32" s="372"/>
      <c r="W32" s="372"/>
      <c r="X32" s="372"/>
      <c r="Y32" s="370"/>
      <c r="Z32" s="370"/>
      <c r="AA32" s="370"/>
    </row>
    <row r="33" spans="2:27" ht="20.100000000000001" customHeight="1" x14ac:dyDescent="0.15">
      <c r="B33" s="371"/>
      <c r="C33" s="371"/>
      <c r="D33" s="371"/>
      <c r="E33" s="372"/>
      <c r="F33" s="372"/>
      <c r="G33" s="372"/>
      <c r="H33" s="372"/>
      <c r="I33" s="372"/>
      <c r="J33" s="372"/>
      <c r="K33" s="372"/>
      <c r="L33" s="372"/>
      <c r="M33" s="372"/>
      <c r="N33" s="372"/>
      <c r="O33" s="372"/>
      <c r="P33" s="372"/>
      <c r="Q33" s="372"/>
      <c r="R33" s="372"/>
      <c r="S33" s="372"/>
      <c r="T33" s="372"/>
      <c r="U33" s="372"/>
      <c r="V33" s="372"/>
      <c r="W33" s="372"/>
      <c r="X33" s="372"/>
      <c r="Y33" s="370"/>
      <c r="Z33" s="370"/>
      <c r="AA33" s="370"/>
    </row>
    <row r="34" spans="2:27" ht="20.100000000000001" customHeight="1" x14ac:dyDescent="0.15">
      <c r="B34" s="371"/>
      <c r="C34" s="371"/>
      <c r="D34" s="371"/>
      <c r="E34" s="372"/>
      <c r="F34" s="372"/>
      <c r="G34" s="372"/>
      <c r="H34" s="372"/>
      <c r="I34" s="372"/>
      <c r="J34" s="372"/>
      <c r="K34" s="372"/>
      <c r="L34" s="372"/>
      <c r="M34" s="372"/>
      <c r="N34" s="372"/>
      <c r="O34" s="372"/>
      <c r="P34" s="372"/>
      <c r="Q34" s="372"/>
      <c r="R34" s="372"/>
      <c r="S34" s="372"/>
      <c r="T34" s="372"/>
      <c r="U34" s="372"/>
      <c r="V34" s="372"/>
      <c r="W34" s="372"/>
      <c r="X34" s="372"/>
      <c r="Y34" s="370"/>
      <c r="Z34" s="370"/>
      <c r="AA34" s="370"/>
    </row>
    <row r="35" spans="2:27" ht="20.100000000000001" customHeight="1" x14ac:dyDescent="0.15">
      <c r="B35" s="371"/>
      <c r="C35" s="371"/>
      <c r="D35" s="371"/>
      <c r="E35" s="372"/>
      <c r="F35" s="372"/>
      <c r="G35" s="372"/>
      <c r="H35" s="372"/>
      <c r="I35" s="372"/>
      <c r="J35" s="372"/>
      <c r="K35" s="372"/>
      <c r="L35" s="372"/>
      <c r="M35" s="372"/>
      <c r="N35" s="372"/>
      <c r="O35" s="372"/>
      <c r="P35" s="372"/>
      <c r="Q35" s="372"/>
      <c r="R35" s="372"/>
      <c r="S35" s="372"/>
      <c r="T35" s="372"/>
      <c r="U35" s="372"/>
      <c r="V35" s="372"/>
      <c r="W35" s="372"/>
      <c r="X35" s="372"/>
      <c r="Y35" s="370"/>
      <c r="Z35" s="370"/>
      <c r="AA35" s="370"/>
    </row>
    <row r="36" spans="2:27" ht="20.100000000000001" customHeight="1" x14ac:dyDescent="0.15">
      <c r="B36" s="371"/>
      <c r="C36" s="371"/>
      <c r="D36" s="371"/>
      <c r="E36" s="372"/>
      <c r="F36" s="372"/>
      <c r="G36" s="372"/>
      <c r="H36" s="372"/>
      <c r="I36" s="372"/>
      <c r="J36" s="372"/>
      <c r="K36" s="372"/>
      <c r="L36" s="372"/>
      <c r="M36" s="372"/>
      <c r="N36" s="372"/>
      <c r="O36" s="372"/>
      <c r="P36" s="372"/>
      <c r="Q36" s="372"/>
      <c r="R36" s="372"/>
      <c r="S36" s="372"/>
      <c r="T36" s="372"/>
      <c r="U36" s="372"/>
      <c r="V36" s="372"/>
      <c r="W36" s="372"/>
      <c r="X36" s="372"/>
      <c r="Y36" s="370"/>
      <c r="Z36" s="370"/>
      <c r="AA36" s="370"/>
    </row>
    <row r="37" spans="2:27" ht="20.100000000000001" customHeight="1" x14ac:dyDescent="0.15">
      <c r="B37" s="371"/>
      <c r="C37" s="371"/>
      <c r="D37" s="371"/>
      <c r="E37" s="372"/>
      <c r="F37" s="372"/>
      <c r="G37" s="372"/>
      <c r="H37" s="372"/>
      <c r="I37" s="372"/>
      <c r="J37" s="372"/>
      <c r="K37" s="372"/>
      <c r="L37" s="372"/>
      <c r="M37" s="372"/>
      <c r="N37" s="372"/>
      <c r="O37" s="372"/>
      <c r="P37" s="372"/>
      <c r="Q37" s="372"/>
      <c r="R37" s="372"/>
      <c r="S37" s="372"/>
      <c r="T37" s="372"/>
      <c r="U37" s="372"/>
      <c r="V37" s="372"/>
      <c r="W37" s="372"/>
      <c r="X37" s="372"/>
      <c r="Y37" s="370"/>
      <c r="Z37" s="370"/>
      <c r="AA37" s="370"/>
    </row>
    <row r="38" spans="2:27" ht="20.100000000000001" customHeight="1" x14ac:dyDescent="0.15">
      <c r="B38" s="371"/>
      <c r="C38" s="371"/>
      <c r="D38" s="371"/>
      <c r="E38" s="372"/>
      <c r="F38" s="372"/>
      <c r="G38" s="372"/>
      <c r="H38" s="372"/>
      <c r="I38" s="372"/>
      <c r="J38" s="372"/>
      <c r="K38" s="372"/>
      <c r="L38" s="372"/>
      <c r="M38" s="372"/>
      <c r="N38" s="372"/>
      <c r="O38" s="372"/>
      <c r="P38" s="372"/>
      <c r="Q38" s="372"/>
      <c r="R38" s="372"/>
      <c r="S38" s="372"/>
      <c r="T38" s="372"/>
      <c r="U38" s="372"/>
      <c r="V38" s="372"/>
      <c r="W38" s="372"/>
      <c r="X38" s="372"/>
      <c r="Y38" s="370"/>
      <c r="Z38" s="370"/>
      <c r="AA38" s="370"/>
    </row>
    <row r="39" spans="2:27" ht="20.100000000000001" customHeight="1" x14ac:dyDescent="0.15">
      <c r="B39" s="371"/>
      <c r="C39" s="371"/>
      <c r="D39" s="371"/>
      <c r="E39" s="372"/>
      <c r="F39" s="372"/>
      <c r="G39" s="372"/>
      <c r="H39" s="372"/>
      <c r="I39" s="372"/>
      <c r="J39" s="372"/>
      <c r="K39" s="372"/>
      <c r="L39" s="372"/>
      <c r="M39" s="372"/>
      <c r="N39" s="372"/>
      <c r="O39" s="372"/>
      <c r="P39" s="372"/>
      <c r="Q39" s="372"/>
      <c r="R39" s="372"/>
      <c r="S39" s="372"/>
      <c r="T39" s="372"/>
      <c r="U39" s="372"/>
      <c r="V39" s="372"/>
      <c r="W39" s="372"/>
      <c r="X39" s="372"/>
      <c r="Y39" s="370"/>
      <c r="Z39" s="370"/>
      <c r="AA39" s="370"/>
    </row>
    <row r="40" spans="2:27" ht="20.100000000000001" customHeight="1" x14ac:dyDescent="0.15">
      <c r="B40" s="371"/>
      <c r="C40" s="371"/>
      <c r="D40" s="371"/>
      <c r="E40" s="372"/>
      <c r="F40" s="372"/>
      <c r="G40" s="372"/>
      <c r="H40" s="372"/>
      <c r="I40" s="372"/>
      <c r="J40" s="372"/>
      <c r="K40" s="372"/>
      <c r="L40" s="372"/>
      <c r="M40" s="372"/>
      <c r="N40" s="372"/>
      <c r="O40" s="372"/>
      <c r="P40" s="372"/>
      <c r="Q40" s="372"/>
      <c r="R40" s="372"/>
      <c r="S40" s="372"/>
      <c r="T40" s="372"/>
      <c r="U40" s="372"/>
      <c r="V40" s="372"/>
      <c r="W40" s="372"/>
      <c r="X40" s="372"/>
      <c r="Y40" s="370"/>
      <c r="Z40" s="370"/>
      <c r="AA40" s="370"/>
    </row>
    <row r="41" spans="2:27" ht="20.100000000000001" customHeight="1" x14ac:dyDescent="0.15">
      <c r="B41" s="371"/>
      <c r="C41" s="371"/>
      <c r="D41" s="371"/>
      <c r="E41" s="372"/>
      <c r="F41" s="372"/>
      <c r="G41" s="372"/>
      <c r="H41" s="372"/>
      <c r="I41" s="372"/>
      <c r="J41" s="372"/>
      <c r="K41" s="372"/>
      <c r="L41" s="372"/>
      <c r="M41" s="372"/>
      <c r="N41" s="372"/>
      <c r="O41" s="372"/>
      <c r="P41" s="372"/>
      <c r="Q41" s="372"/>
      <c r="R41" s="372"/>
      <c r="S41" s="372"/>
      <c r="T41" s="372"/>
      <c r="U41" s="372"/>
      <c r="V41" s="372"/>
      <c r="W41" s="372"/>
      <c r="X41" s="372"/>
      <c r="Y41" s="370"/>
      <c r="Z41" s="370"/>
      <c r="AA41" s="370"/>
    </row>
    <row r="42" spans="2:27" ht="20.100000000000001" customHeight="1" x14ac:dyDescent="0.15">
      <c r="B42" s="371"/>
      <c r="C42" s="371"/>
      <c r="D42" s="371"/>
      <c r="E42" s="372"/>
      <c r="F42" s="372"/>
      <c r="G42" s="372"/>
      <c r="H42" s="372"/>
      <c r="I42" s="372"/>
      <c r="J42" s="372"/>
      <c r="K42" s="372"/>
      <c r="L42" s="372"/>
      <c r="M42" s="372"/>
      <c r="N42" s="372"/>
      <c r="O42" s="372"/>
      <c r="P42" s="372"/>
      <c r="Q42" s="372"/>
      <c r="R42" s="372"/>
      <c r="S42" s="372"/>
      <c r="T42" s="372"/>
      <c r="U42" s="372"/>
      <c r="V42" s="372"/>
      <c r="W42" s="372"/>
      <c r="X42" s="372"/>
      <c r="Y42" s="370"/>
      <c r="Z42" s="370"/>
      <c r="AA42" s="370"/>
    </row>
    <row r="43" spans="2:27" ht="20.100000000000001" customHeight="1" x14ac:dyDescent="0.15">
      <c r="B43" s="371"/>
      <c r="C43" s="371"/>
      <c r="D43" s="371"/>
      <c r="E43" s="372"/>
      <c r="F43" s="372"/>
      <c r="G43" s="372"/>
      <c r="H43" s="372"/>
      <c r="I43" s="372"/>
      <c r="J43" s="372"/>
      <c r="K43" s="372"/>
      <c r="L43" s="372"/>
      <c r="M43" s="372"/>
      <c r="N43" s="372"/>
      <c r="O43" s="372"/>
      <c r="P43" s="372"/>
      <c r="Q43" s="372"/>
      <c r="R43" s="372"/>
      <c r="S43" s="372"/>
      <c r="T43" s="372"/>
      <c r="U43" s="372"/>
      <c r="V43" s="372"/>
      <c r="W43" s="372"/>
      <c r="X43" s="372"/>
      <c r="Y43" s="370"/>
      <c r="Z43" s="370"/>
      <c r="AA43" s="370"/>
    </row>
    <row r="44" spans="2:27" ht="20.100000000000001" customHeight="1" x14ac:dyDescent="0.15">
      <c r="B44" s="371"/>
      <c r="C44" s="371"/>
      <c r="D44" s="371"/>
      <c r="E44" s="372"/>
      <c r="F44" s="372"/>
      <c r="G44" s="372"/>
      <c r="H44" s="372"/>
      <c r="I44" s="372"/>
      <c r="J44" s="372"/>
      <c r="K44" s="372"/>
      <c r="L44" s="372"/>
      <c r="M44" s="372"/>
      <c r="N44" s="372"/>
      <c r="O44" s="372"/>
      <c r="P44" s="372"/>
      <c r="Q44" s="372"/>
      <c r="R44" s="372"/>
      <c r="S44" s="372"/>
      <c r="T44" s="372"/>
      <c r="U44" s="372"/>
      <c r="V44" s="372"/>
      <c r="W44" s="372"/>
      <c r="X44" s="372"/>
      <c r="Y44" s="370"/>
      <c r="Z44" s="370"/>
      <c r="AA44" s="370"/>
    </row>
    <row r="45" spans="2:27" ht="20.100000000000001" customHeight="1" x14ac:dyDescent="0.15">
      <c r="B45" s="371"/>
      <c r="C45" s="371"/>
      <c r="D45" s="371"/>
      <c r="E45" s="372"/>
      <c r="F45" s="372"/>
      <c r="G45" s="372"/>
      <c r="H45" s="372"/>
      <c r="I45" s="372"/>
      <c r="J45" s="372"/>
      <c r="K45" s="372"/>
      <c r="L45" s="372"/>
      <c r="M45" s="372"/>
      <c r="N45" s="372"/>
      <c r="O45" s="372"/>
      <c r="P45" s="372"/>
      <c r="Q45" s="372"/>
      <c r="R45" s="372"/>
      <c r="S45" s="372"/>
      <c r="T45" s="372"/>
      <c r="U45" s="372"/>
      <c r="V45" s="372"/>
      <c r="W45" s="372"/>
      <c r="X45" s="372"/>
      <c r="Y45" s="370"/>
      <c r="Z45" s="370"/>
      <c r="AA45" s="370"/>
    </row>
    <row r="46" spans="2:27" ht="20.100000000000001" customHeight="1" x14ac:dyDescent="0.15">
      <c r="B46" s="371"/>
      <c r="C46" s="371"/>
      <c r="D46" s="371"/>
      <c r="E46" s="372"/>
      <c r="F46" s="372"/>
      <c r="G46" s="372"/>
      <c r="H46" s="372"/>
      <c r="I46" s="372"/>
      <c r="J46" s="372"/>
      <c r="K46" s="372"/>
      <c r="L46" s="372"/>
      <c r="M46" s="372"/>
      <c r="N46" s="372"/>
      <c r="O46" s="372"/>
      <c r="P46" s="372"/>
      <c r="Q46" s="372"/>
      <c r="R46" s="372"/>
      <c r="S46" s="372"/>
      <c r="T46" s="372"/>
      <c r="U46" s="372"/>
      <c r="V46" s="372"/>
      <c r="W46" s="372"/>
      <c r="X46" s="372"/>
      <c r="Y46" s="370"/>
      <c r="Z46" s="370"/>
      <c r="AA46" s="370"/>
    </row>
    <row r="47" spans="2:27" ht="20.100000000000001" customHeight="1" x14ac:dyDescent="0.15">
      <c r="B47" s="371"/>
      <c r="C47" s="371"/>
      <c r="D47" s="371"/>
      <c r="E47" s="372"/>
      <c r="F47" s="372"/>
      <c r="G47" s="372"/>
      <c r="H47" s="372"/>
      <c r="I47" s="372"/>
      <c r="J47" s="372"/>
      <c r="K47" s="372"/>
      <c r="L47" s="372"/>
      <c r="M47" s="372"/>
      <c r="N47" s="372"/>
      <c r="O47" s="372"/>
      <c r="P47" s="372"/>
      <c r="Q47" s="372"/>
      <c r="R47" s="372"/>
      <c r="S47" s="372"/>
      <c r="T47" s="372"/>
      <c r="U47" s="372"/>
      <c r="V47" s="372"/>
      <c r="W47" s="372"/>
      <c r="X47" s="372"/>
      <c r="Y47" s="370"/>
      <c r="Z47" s="370"/>
      <c r="AA47" s="370"/>
    </row>
    <row r="48" spans="2:27" ht="20.100000000000001" customHeight="1" x14ac:dyDescent="0.15">
      <c r="B48" s="371"/>
      <c r="C48" s="371"/>
      <c r="D48" s="371"/>
      <c r="E48" s="372"/>
      <c r="F48" s="372"/>
      <c r="G48" s="372"/>
      <c r="H48" s="372"/>
      <c r="I48" s="372"/>
      <c r="J48" s="372"/>
      <c r="K48" s="372"/>
      <c r="L48" s="372"/>
      <c r="M48" s="372"/>
      <c r="N48" s="372"/>
      <c r="O48" s="372"/>
      <c r="P48" s="372"/>
      <c r="Q48" s="372"/>
      <c r="R48" s="372"/>
      <c r="S48" s="372"/>
      <c r="T48" s="372"/>
      <c r="U48" s="372"/>
      <c r="V48" s="372"/>
      <c r="W48" s="372"/>
      <c r="X48" s="372"/>
      <c r="Y48" s="370"/>
      <c r="Z48" s="370"/>
      <c r="AA48" s="370"/>
    </row>
    <row r="49" spans="2:27" ht="20.100000000000001" customHeight="1" x14ac:dyDescent="0.15">
      <c r="B49" s="371"/>
      <c r="C49" s="371"/>
      <c r="D49" s="371"/>
      <c r="E49" s="372"/>
      <c r="F49" s="372"/>
      <c r="G49" s="372"/>
      <c r="H49" s="372"/>
      <c r="I49" s="372"/>
      <c r="J49" s="372"/>
      <c r="K49" s="372"/>
      <c r="L49" s="372"/>
      <c r="M49" s="372"/>
      <c r="N49" s="372"/>
      <c r="O49" s="372"/>
      <c r="P49" s="372"/>
      <c r="Q49" s="372"/>
      <c r="R49" s="372"/>
      <c r="S49" s="372"/>
      <c r="T49" s="372"/>
      <c r="U49" s="372"/>
      <c r="V49" s="372"/>
      <c r="W49" s="372"/>
      <c r="X49" s="372"/>
      <c r="Y49" s="370"/>
      <c r="Z49" s="370"/>
      <c r="AA49" s="370"/>
    </row>
    <row r="50" spans="2:27" ht="20.100000000000001" customHeight="1" x14ac:dyDescent="0.15">
      <c r="B50" s="371"/>
      <c r="C50" s="371"/>
      <c r="D50" s="371"/>
      <c r="E50" s="372"/>
      <c r="F50" s="372"/>
      <c r="G50" s="372"/>
      <c r="H50" s="372"/>
      <c r="I50" s="372"/>
      <c r="J50" s="372"/>
      <c r="K50" s="372"/>
      <c r="L50" s="372"/>
      <c r="M50" s="372"/>
      <c r="N50" s="372"/>
      <c r="O50" s="372"/>
      <c r="P50" s="372"/>
      <c r="Q50" s="372"/>
      <c r="R50" s="372"/>
      <c r="S50" s="372"/>
      <c r="T50" s="372"/>
      <c r="U50" s="372"/>
      <c r="V50" s="372"/>
      <c r="W50" s="372"/>
      <c r="X50" s="372"/>
      <c r="Y50" s="370"/>
      <c r="Z50" s="370"/>
      <c r="AA50" s="370"/>
    </row>
    <row r="51" spans="2:27" ht="20.100000000000001" customHeight="1" x14ac:dyDescent="0.15">
      <c r="B51" s="371"/>
      <c r="C51" s="371"/>
      <c r="D51" s="371"/>
      <c r="E51" s="372"/>
      <c r="F51" s="372"/>
      <c r="G51" s="372"/>
      <c r="H51" s="372"/>
      <c r="I51" s="372"/>
      <c r="J51" s="372"/>
      <c r="K51" s="372"/>
      <c r="L51" s="372"/>
      <c r="M51" s="372"/>
      <c r="N51" s="372"/>
      <c r="O51" s="372"/>
      <c r="P51" s="372"/>
      <c r="Q51" s="372"/>
      <c r="R51" s="372"/>
      <c r="S51" s="372"/>
      <c r="T51" s="372"/>
      <c r="U51" s="372"/>
      <c r="V51" s="372"/>
      <c r="W51" s="372"/>
      <c r="X51" s="372"/>
      <c r="Y51" s="370"/>
      <c r="Z51" s="370"/>
      <c r="AA51" s="370"/>
    </row>
    <row r="52" spans="2:27" ht="20.100000000000001" customHeight="1" x14ac:dyDescent="0.15">
      <c r="B52" s="371"/>
      <c r="C52" s="371"/>
      <c r="D52" s="371"/>
      <c r="E52" s="372"/>
      <c r="F52" s="372"/>
      <c r="G52" s="372"/>
      <c r="H52" s="372"/>
      <c r="I52" s="372"/>
      <c r="J52" s="372"/>
      <c r="K52" s="372"/>
      <c r="L52" s="372"/>
      <c r="M52" s="372"/>
      <c r="N52" s="372"/>
      <c r="O52" s="372"/>
      <c r="P52" s="372"/>
      <c r="Q52" s="372"/>
      <c r="R52" s="372"/>
      <c r="S52" s="372"/>
      <c r="T52" s="372"/>
      <c r="U52" s="372"/>
      <c r="V52" s="372"/>
      <c r="W52" s="372"/>
      <c r="X52" s="372"/>
      <c r="Y52" s="370"/>
      <c r="Z52" s="370"/>
      <c r="AA52" s="370"/>
    </row>
    <row r="53" spans="2:27" ht="20.100000000000001" customHeight="1" x14ac:dyDescent="0.15">
      <c r="B53" s="371"/>
      <c r="C53" s="371"/>
      <c r="D53" s="371"/>
      <c r="E53" s="372"/>
      <c r="F53" s="372"/>
      <c r="G53" s="372"/>
      <c r="H53" s="372"/>
      <c r="I53" s="372"/>
      <c r="J53" s="372"/>
      <c r="K53" s="372"/>
      <c r="L53" s="372"/>
      <c r="M53" s="372"/>
      <c r="N53" s="372"/>
      <c r="O53" s="372"/>
      <c r="P53" s="372"/>
      <c r="Q53" s="372"/>
      <c r="R53" s="372"/>
      <c r="S53" s="372"/>
      <c r="T53" s="372"/>
      <c r="U53" s="372"/>
      <c r="V53" s="372"/>
      <c r="W53" s="372"/>
      <c r="X53" s="372"/>
      <c r="Y53" s="370"/>
      <c r="Z53" s="370"/>
      <c r="AA53" s="370"/>
    </row>
    <row r="54" spans="2:27" ht="20.100000000000001" customHeight="1" x14ac:dyDescent="0.15">
      <c r="B54" s="371"/>
      <c r="C54" s="371"/>
      <c r="D54" s="371"/>
      <c r="E54" s="372"/>
      <c r="F54" s="372"/>
      <c r="G54" s="372"/>
      <c r="H54" s="372"/>
      <c r="I54" s="372"/>
      <c r="J54" s="372"/>
      <c r="K54" s="372"/>
      <c r="L54" s="372"/>
      <c r="M54" s="372"/>
      <c r="N54" s="372"/>
      <c r="O54" s="372"/>
      <c r="P54" s="372"/>
      <c r="Q54" s="372"/>
      <c r="R54" s="372"/>
      <c r="S54" s="372"/>
      <c r="T54" s="372"/>
      <c r="U54" s="372"/>
      <c r="V54" s="372"/>
      <c r="W54" s="372"/>
      <c r="X54" s="372"/>
      <c r="Y54" s="370"/>
      <c r="Z54" s="370"/>
      <c r="AA54" s="370"/>
    </row>
    <row r="55" spans="2:27" ht="20.100000000000001" customHeight="1" x14ac:dyDescent="0.15">
      <c r="B55" s="371"/>
      <c r="C55" s="371"/>
      <c r="D55" s="371"/>
      <c r="E55" s="372"/>
      <c r="F55" s="372"/>
      <c r="G55" s="372"/>
      <c r="H55" s="372"/>
      <c r="I55" s="372"/>
      <c r="J55" s="372"/>
      <c r="K55" s="372"/>
      <c r="L55" s="372"/>
      <c r="M55" s="372"/>
      <c r="N55" s="372"/>
      <c r="O55" s="372"/>
      <c r="P55" s="372"/>
      <c r="Q55" s="372"/>
      <c r="R55" s="372"/>
      <c r="S55" s="372"/>
      <c r="T55" s="372"/>
      <c r="U55" s="372"/>
      <c r="V55" s="372"/>
      <c r="W55" s="372"/>
      <c r="X55" s="372"/>
      <c r="Y55" s="370"/>
      <c r="Z55" s="370"/>
      <c r="AA55" s="370"/>
    </row>
    <row r="56" spans="2:27" ht="15" customHeight="1" x14ac:dyDescent="0.15"/>
    <row r="57" spans="2:27" ht="15" customHeight="1" x14ac:dyDescent="0.15"/>
    <row r="58" spans="2:27" ht="15" customHeight="1" x14ac:dyDescent="0.15"/>
    <row r="59" spans="2:27" ht="15" customHeight="1" x14ac:dyDescent="0.15"/>
    <row r="60" spans="2:27" ht="15" customHeight="1" x14ac:dyDescent="0.15"/>
    <row r="61" spans="2:27" ht="15" customHeight="1" x14ac:dyDescent="0.15"/>
    <row r="62" spans="2:27" ht="15" customHeight="1" x14ac:dyDescent="0.15"/>
    <row r="63" spans="2:27" ht="15" customHeight="1" x14ac:dyDescent="0.15"/>
    <row r="64" spans="2:27" ht="15" customHeight="1" x14ac:dyDescent="0.15"/>
    <row r="65" ht="15" customHeight="1" x14ac:dyDescent="0.15"/>
    <row r="66" ht="15" customHeight="1" x14ac:dyDescent="0.15"/>
    <row r="67" ht="15" customHeight="1" x14ac:dyDescent="0.15"/>
    <row r="68" ht="15" customHeight="1" x14ac:dyDescent="0.15"/>
    <row r="69" ht="15" customHeight="1" x14ac:dyDescent="0.15"/>
    <row r="70" ht="15" customHeight="1" x14ac:dyDescent="0.15"/>
    <row r="71" ht="15" customHeight="1" x14ac:dyDescent="0.15"/>
    <row r="72" ht="15" customHeight="1" x14ac:dyDescent="0.15"/>
    <row r="73" ht="15" customHeight="1" x14ac:dyDescent="0.15"/>
    <row r="74" ht="15" customHeight="1" x14ac:dyDescent="0.15"/>
    <row r="75" ht="15" customHeight="1" x14ac:dyDescent="0.15"/>
    <row r="76" ht="15" customHeight="1" x14ac:dyDescent="0.15"/>
    <row r="77" ht="15" customHeight="1" x14ac:dyDescent="0.15"/>
    <row r="78" ht="15" customHeight="1" x14ac:dyDescent="0.15"/>
    <row r="79" ht="15" customHeight="1" x14ac:dyDescent="0.15"/>
    <row r="80" ht="15" customHeight="1" x14ac:dyDescent="0.15"/>
    <row r="81"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1" ht="15" customHeight="1" x14ac:dyDescent="0.15"/>
    <row r="172" ht="15" customHeight="1" x14ac:dyDescent="0.15"/>
    <row r="173" ht="15" customHeight="1" x14ac:dyDescent="0.15"/>
    <row r="174" ht="15" customHeight="1" x14ac:dyDescent="0.15"/>
    <row r="175" ht="15" customHeight="1" x14ac:dyDescent="0.15"/>
    <row r="176" ht="15" customHeight="1" x14ac:dyDescent="0.15"/>
    <row r="177" ht="15" customHeight="1" x14ac:dyDescent="0.15"/>
    <row r="178" ht="15" customHeight="1" x14ac:dyDescent="0.15"/>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row r="374" ht="15" customHeight="1" x14ac:dyDescent="0.15"/>
    <row r="375" ht="15" customHeight="1" x14ac:dyDescent="0.15"/>
    <row r="376" ht="15" customHeight="1" x14ac:dyDescent="0.15"/>
    <row r="377" ht="15" customHeight="1" x14ac:dyDescent="0.15"/>
    <row r="378" ht="15" customHeight="1" x14ac:dyDescent="0.15"/>
    <row r="379" ht="15" customHeight="1" x14ac:dyDescent="0.15"/>
    <row r="380" ht="15" customHeight="1" x14ac:dyDescent="0.15"/>
    <row r="381" ht="15" customHeight="1" x14ac:dyDescent="0.15"/>
    <row r="382" ht="15" customHeight="1" x14ac:dyDescent="0.15"/>
    <row r="383" ht="15" customHeight="1" x14ac:dyDescent="0.15"/>
    <row r="384" ht="15" customHeight="1" x14ac:dyDescent="0.15"/>
    <row r="385" ht="15" customHeight="1" x14ac:dyDescent="0.15"/>
    <row r="386" ht="15" customHeight="1" x14ac:dyDescent="0.15"/>
    <row r="387" ht="15" customHeight="1" x14ac:dyDescent="0.15"/>
    <row r="388" ht="15" customHeight="1" x14ac:dyDescent="0.15"/>
    <row r="389" ht="15" customHeight="1" x14ac:dyDescent="0.15"/>
    <row r="390" ht="15" customHeight="1" x14ac:dyDescent="0.15"/>
    <row r="391" ht="15" customHeight="1" x14ac:dyDescent="0.15"/>
    <row r="392" ht="15" customHeight="1" x14ac:dyDescent="0.15"/>
    <row r="393" ht="15" customHeight="1" x14ac:dyDescent="0.15"/>
    <row r="394" ht="15" customHeight="1" x14ac:dyDescent="0.15"/>
    <row r="395" ht="15" customHeight="1" x14ac:dyDescent="0.15"/>
    <row r="396" ht="15" customHeight="1" x14ac:dyDescent="0.15"/>
    <row r="397" ht="15" customHeight="1" x14ac:dyDescent="0.15"/>
    <row r="398" ht="15" customHeight="1" x14ac:dyDescent="0.15"/>
    <row r="399" ht="15" customHeight="1" x14ac:dyDescent="0.15"/>
    <row r="400" ht="15" customHeight="1" x14ac:dyDescent="0.15"/>
    <row r="401" ht="15" customHeight="1" x14ac:dyDescent="0.15"/>
    <row r="402" ht="15" customHeight="1" x14ac:dyDescent="0.15"/>
    <row r="403" ht="15" customHeight="1" x14ac:dyDescent="0.15"/>
    <row r="404" ht="15" customHeight="1" x14ac:dyDescent="0.15"/>
    <row r="405" ht="15" customHeight="1" x14ac:dyDescent="0.15"/>
    <row r="406" ht="15" customHeight="1" x14ac:dyDescent="0.15"/>
    <row r="407" ht="15" customHeight="1" x14ac:dyDescent="0.15"/>
    <row r="408" ht="15" customHeight="1" x14ac:dyDescent="0.15"/>
    <row r="409" ht="15" customHeight="1" x14ac:dyDescent="0.15"/>
    <row r="410" ht="15" customHeight="1" x14ac:dyDescent="0.15"/>
    <row r="411" ht="15" customHeight="1" x14ac:dyDescent="0.15"/>
    <row r="412" ht="15" customHeight="1" x14ac:dyDescent="0.15"/>
    <row r="413" ht="15" customHeight="1" x14ac:dyDescent="0.15"/>
    <row r="414" ht="15" customHeight="1" x14ac:dyDescent="0.15"/>
    <row r="415" ht="15" customHeight="1" x14ac:dyDescent="0.15"/>
    <row r="416" ht="15" customHeight="1" x14ac:dyDescent="0.15"/>
    <row r="417" ht="15" customHeight="1" x14ac:dyDescent="0.15"/>
    <row r="418" ht="15" customHeight="1" x14ac:dyDescent="0.15"/>
    <row r="419" ht="15" customHeight="1" x14ac:dyDescent="0.15"/>
    <row r="420" ht="15" customHeight="1" x14ac:dyDescent="0.15"/>
    <row r="421" ht="15" customHeight="1" x14ac:dyDescent="0.15"/>
    <row r="422" ht="15" customHeight="1" x14ac:dyDescent="0.15"/>
    <row r="423" ht="15" customHeight="1" x14ac:dyDescent="0.15"/>
    <row r="424" ht="15" customHeight="1" x14ac:dyDescent="0.15"/>
    <row r="425" ht="15" customHeight="1" x14ac:dyDescent="0.15"/>
    <row r="426" ht="15" customHeight="1" x14ac:dyDescent="0.15"/>
    <row r="427" ht="15" customHeight="1" x14ac:dyDescent="0.15"/>
    <row r="428" ht="15" customHeight="1" x14ac:dyDescent="0.15"/>
  </sheetData>
  <mergeCells count="303">
    <mergeCell ref="A1:AB1"/>
    <mergeCell ref="A4:AB5"/>
    <mergeCell ref="E7:G7"/>
    <mergeCell ref="H7:W7"/>
    <mergeCell ref="E8:G9"/>
    <mergeCell ref="H8:W8"/>
    <mergeCell ref="H9:W9"/>
    <mergeCell ref="Y13:AA13"/>
    <mergeCell ref="B15:D15"/>
    <mergeCell ref="E15:H15"/>
    <mergeCell ref="I15:L15"/>
    <mergeCell ref="M15:P15"/>
    <mergeCell ref="Q15:S15"/>
    <mergeCell ref="T15:X15"/>
    <mergeCell ref="Y15:AA15"/>
    <mergeCell ref="E10:G10"/>
    <mergeCell ref="H10:W10"/>
    <mergeCell ref="B13:D13"/>
    <mergeCell ref="E13:H13"/>
    <mergeCell ref="I13:L13"/>
    <mergeCell ref="M13:P13"/>
    <mergeCell ref="Q13:S13"/>
    <mergeCell ref="T13:X13"/>
    <mergeCell ref="Y16:AA16"/>
    <mergeCell ref="B17:D17"/>
    <mergeCell ref="E17:H17"/>
    <mergeCell ref="I17:L17"/>
    <mergeCell ref="M17:P17"/>
    <mergeCell ref="Q17:S17"/>
    <mergeCell ref="T17:X17"/>
    <mergeCell ref="Y17:AA17"/>
    <mergeCell ref="B16:D16"/>
    <mergeCell ref="E16:H16"/>
    <mergeCell ref="I16:L16"/>
    <mergeCell ref="M16:P16"/>
    <mergeCell ref="Q16:S16"/>
    <mergeCell ref="T16:X16"/>
    <mergeCell ref="Y18:AA18"/>
    <mergeCell ref="B19:D19"/>
    <mergeCell ref="E19:H19"/>
    <mergeCell ref="I19:L19"/>
    <mergeCell ref="M19:P19"/>
    <mergeCell ref="Q19:S19"/>
    <mergeCell ref="T19:X19"/>
    <mergeCell ref="Y19:AA19"/>
    <mergeCell ref="B18:D18"/>
    <mergeCell ref="E18:H18"/>
    <mergeCell ref="I18:L18"/>
    <mergeCell ref="M18:P18"/>
    <mergeCell ref="Q18:S18"/>
    <mergeCell ref="T18:X18"/>
    <mergeCell ref="Y20:AA20"/>
    <mergeCell ref="B21:D21"/>
    <mergeCell ref="E21:H21"/>
    <mergeCell ref="I21:L21"/>
    <mergeCell ref="M21:P21"/>
    <mergeCell ref="Q21:S21"/>
    <mergeCell ref="T21:X21"/>
    <mergeCell ref="Y21:AA21"/>
    <mergeCell ref="B20:D20"/>
    <mergeCell ref="E20:H20"/>
    <mergeCell ref="I20:L20"/>
    <mergeCell ref="M20:P20"/>
    <mergeCell ref="Q20:S20"/>
    <mergeCell ref="T20:X20"/>
    <mergeCell ref="Y22:AA22"/>
    <mergeCell ref="B23:D23"/>
    <mergeCell ref="E23:H23"/>
    <mergeCell ref="I23:L23"/>
    <mergeCell ref="M23:P23"/>
    <mergeCell ref="Q23:S23"/>
    <mergeCell ref="T23:X23"/>
    <mergeCell ref="Y23:AA23"/>
    <mergeCell ref="B22:D22"/>
    <mergeCell ref="E22:H22"/>
    <mergeCell ref="I22:L22"/>
    <mergeCell ref="M22:P22"/>
    <mergeCell ref="Q22:S22"/>
    <mergeCell ref="T22:X22"/>
    <mergeCell ref="Y24:AA24"/>
    <mergeCell ref="B25:D25"/>
    <mergeCell ref="E25:H25"/>
    <mergeCell ref="I25:L25"/>
    <mergeCell ref="M25:P25"/>
    <mergeCell ref="Q25:S25"/>
    <mergeCell ref="T25:X25"/>
    <mergeCell ref="Y25:AA25"/>
    <mergeCell ref="B24:D24"/>
    <mergeCell ref="E24:H24"/>
    <mergeCell ref="I24:L24"/>
    <mergeCell ref="M24:P24"/>
    <mergeCell ref="Q24:S24"/>
    <mergeCell ref="T24:X24"/>
    <mergeCell ref="Y26:AA26"/>
    <mergeCell ref="B27:D27"/>
    <mergeCell ref="E27:H27"/>
    <mergeCell ref="I27:L27"/>
    <mergeCell ref="M27:P27"/>
    <mergeCell ref="Q27:S27"/>
    <mergeCell ref="T27:X27"/>
    <mergeCell ref="Y27:AA27"/>
    <mergeCell ref="B26:D26"/>
    <mergeCell ref="E26:H26"/>
    <mergeCell ref="I26:L26"/>
    <mergeCell ref="M26:P26"/>
    <mergeCell ref="Q26:S26"/>
    <mergeCell ref="T26:X26"/>
    <mergeCell ref="Y28:AA28"/>
    <mergeCell ref="B29:D29"/>
    <mergeCell ref="E29:H29"/>
    <mergeCell ref="I29:L29"/>
    <mergeCell ref="M29:P29"/>
    <mergeCell ref="Q29:S29"/>
    <mergeCell ref="T29:X29"/>
    <mergeCell ref="Y29:AA29"/>
    <mergeCell ref="B28:D28"/>
    <mergeCell ref="E28:H28"/>
    <mergeCell ref="I28:L28"/>
    <mergeCell ref="M28:P28"/>
    <mergeCell ref="Q28:S28"/>
    <mergeCell ref="T28:X28"/>
    <mergeCell ref="Y30:AA30"/>
    <mergeCell ref="B31:D31"/>
    <mergeCell ref="E31:H31"/>
    <mergeCell ref="I31:L31"/>
    <mergeCell ref="M31:P31"/>
    <mergeCell ref="Q31:S31"/>
    <mergeCell ref="T31:X31"/>
    <mergeCell ref="Y31:AA31"/>
    <mergeCell ref="B30:D30"/>
    <mergeCell ref="E30:H30"/>
    <mergeCell ref="I30:L30"/>
    <mergeCell ref="M30:P30"/>
    <mergeCell ref="Q30:S30"/>
    <mergeCell ref="T30:X30"/>
    <mergeCell ref="Y32:AA32"/>
    <mergeCell ref="B33:D33"/>
    <mergeCell ref="E33:H33"/>
    <mergeCell ref="I33:L33"/>
    <mergeCell ref="M33:P33"/>
    <mergeCell ref="Q33:S33"/>
    <mergeCell ref="T33:X33"/>
    <mergeCell ref="Y33:AA33"/>
    <mergeCell ref="B32:D32"/>
    <mergeCell ref="E32:H32"/>
    <mergeCell ref="I32:L32"/>
    <mergeCell ref="M32:P32"/>
    <mergeCell ref="Q32:S32"/>
    <mergeCell ref="T32:X32"/>
    <mergeCell ref="Y34:AA34"/>
    <mergeCell ref="B35:D35"/>
    <mergeCell ref="E35:H35"/>
    <mergeCell ref="I35:L35"/>
    <mergeCell ref="M35:P35"/>
    <mergeCell ref="Q35:S35"/>
    <mergeCell ref="T35:X35"/>
    <mergeCell ref="Y35:AA35"/>
    <mergeCell ref="B34:D34"/>
    <mergeCell ref="E34:H34"/>
    <mergeCell ref="I34:L34"/>
    <mergeCell ref="M34:P34"/>
    <mergeCell ref="Q34:S34"/>
    <mergeCell ref="T34:X34"/>
    <mergeCell ref="Y36:AA36"/>
    <mergeCell ref="B37:D37"/>
    <mergeCell ref="E37:H37"/>
    <mergeCell ref="I37:L37"/>
    <mergeCell ref="M37:P37"/>
    <mergeCell ref="Q37:S37"/>
    <mergeCell ref="T37:X37"/>
    <mergeCell ref="Y37:AA37"/>
    <mergeCell ref="B36:D36"/>
    <mergeCell ref="E36:H36"/>
    <mergeCell ref="I36:L36"/>
    <mergeCell ref="M36:P36"/>
    <mergeCell ref="Q36:S36"/>
    <mergeCell ref="T36:X36"/>
    <mergeCell ref="Y38:AA38"/>
    <mergeCell ref="B39:D39"/>
    <mergeCell ref="E39:H39"/>
    <mergeCell ref="I39:L39"/>
    <mergeCell ref="M39:P39"/>
    <mergeCell ref="Q39:S39"/>
    <mergeCell ref="T39:X39"/>
    <mergeCell ref="Y39:AA39"/>
    <mergeCell ref="B38:D38"/>
    <mergeCell ref="E38:H38"/>
    <mergeCell ref="I38:L38"/>
    <mergeCell ref="M38:P38"/>
    <mergeCell ref="Q38:S38"/>
    <mergeCell ref="T38:X38"/>
    <mergeCell ref="Y40:AA40"/>
    <mergeCell ref="B41:D41"/>
    <mergeCell ref="E41:H41"/>
    <mergeCell ref="I41:L41"/>
    <mergeCell ref="M41:P41"/>
    <mergeCell ref="Q41:S41"/>
    <mergeCell ref="T41:X41"/>
    <mergeCell ref="Y41:AA41"/>
    <mergeCell ref="B40:D40"/>
    <mergeCell ref="E40:H40"/>
    <mergeCell ref="I40:L40"/>
    <mergeCell ref="M40:P40"/>
    <mergeCell ref="Q40:S40"/>
    <mergeCell ref="T40:X40"/>
    <mergeCell ref="Y42:AA42"/>
    <mergeCell ref="B43:D43"/>
    <mergeCell ref="E43:H43"/>
    <mergeCell ref="I43:L43"/>
    <mergeCell ref="M43:P43"/>
    <mergeCell ref="Q43:S43"/>
    <mergeCell ref="T43:X43"/>
    <mergeCell ref="Y43:AA43"/>
    <mergeCell ref="B42:D42"/>
    <mergeCell ref="E42:H42"/>
    <mergeCell ref="I42:L42"/>
    <mergeCell ref="M42:P42"/>
    <mergeCell ref="Q42:S42"/>
    <mergeCell ref="T42:X42"/>
    <mergeCell ref="Y44:AA44"/>
    <mergeCell ref="B45:D45"/>
    <mergeCell ref="E45:H45"/>
    <mergeCell ref="I45:L45"/>
    <mergeCell ref="M45:P45"/>
    <mergeCell ref="Q45:S45"/>
    <mergeCell ref="T45:X45"/>
    <mergeCell ref="Y45:AA45"/>
    <mergeCell ref="B44:D44"/>
    <mergeCell ref="E44:H44"/>
    <mergeCell ref="I44:L44"/>
    <mergeCell ref="M44:P44"/>
    <mergeCell ref="Q44:S44"/>
    <mergeCell ref="T44:X44"/>
    <mergeCell ref="Y46:AA46"/>
    <mergeCell ref="B47:D47"/>
    <mergeCell ref="E47:H47"/>
    <mergeCell ref="I47:L47"/>
    <mergeCell ref="M47:P47"/>
    <mergeCell ref="Q47:S47"/>
    <mergeCell ref="T47:X47"/>
    <mergeCell ref="Y47:AA47"/>
    <mergeCell ref="B46:D46"/>
    <mergeCell ref="E46:H46"/>
    <mergeCell ref="I46:L46"/>
    <mergeCell ref="M46:P46"/>
    <mergeCell ref="Q46:S46"/>
    <mergeCell ref="T46:X46"/>
    <mergeCell ref="Y48:AA48"/>
    <mergeCell ref="B49:D49"/>
    <mergeCell ref="E49:H49"/>
    <mergeCell ref="I49:L49"/>
    <mergeCell ref="M49:P49"/>
    <mergeCell ref="Q49:S49"/>
    <mergeCell ref="T49:X49"/>
    <mergeCell ref="Y49:AA49"/>
    <mergeCell ref="B48:D48"/>
    <mergeCell ref="E48:H48"/>
    <mergeCell ref="I48:L48"/>
    <mergeCell ref="M48:P48"/>
    <mergeCell ref="Q48:S48"/>
    <mergeCell ref="T48:X48"/>
    <mergeCell ref="Y50:AA50"/>
    <mergeCell ref="B51:D51"/>
    <mergeCell ref="E51:H51"/>
    <mergeCell ref="I51:L51"/>
    <mergeCell ref="M51:P51"/>
    <mergeCell ref="Q51:S51"/>
    <mergeCell ref="T51:X51"/>
    <mergeCell ref="Y51:AA51"/>
    <mergeCell ref="B50:D50"/>
    <mergeCell ref="E50:H50"/>
    <mergeCell ref="I50:L50"/>
    <mergeCell ref="M50:P50"/>
    <mergeCell ref="Q50:S50"/>
    <mergeCell ref="T50:X50"/>
    <mergeCell ref="Y52:AA52"/>
    <mergeCell ref="B53:D53"/>
    <mergeCell ref="E53:H53"/>
    <mergeCell ref="I53:L53"/>
    <mergeCell ref="M53:P53"/>
    <mergeCell ref="Q53:S53"/>
    <mergeCell ref="T53:X53"/>
    <mergeCell ref="Y53:AA53"/>
    <mergeCell ref="B52:D52"/>
    <mergeCell ref="E52:H52"/>
    <mergeCell ref="I52:L52"/>
    <mergeCell ref="M52:P52"/>
    <mergeCell ref="Q52:S52"/>
    <mergeCell ref="T52:X52"/>
    <mergeCell ref="Y54:AA54"/>
    <mergeCell ref="B55:D55"/>
    <mergeCell ref="E55:H55"/>
    <mergeCell ref="I55:L55"/>
    <mergeCell ref="M55:P55"/>
    <mergeCell ref="Q55:S55"/>
    <mergeCell ref="T55:X55"/>
    <mergeCell ref="Y55:AA55"/>
    <mergeCell ref="B54:D54"/>
    <mergeCell ref="E54:H54"/>
    <mergeCell ref="I54:L54"/>
    <mergeCell ref="M54:P54"/>
    <mergeCell ref="Q54:S54"/>
    <mergeCell ref="T54:X54"/>
  </mergeCells>
  <phoneticPr fontId="3"/>
  <printOptions horizontalCentered="1" verticalCentered="1"/>
  <pageMargins left="0" right="0" top="0.19685039370078741" bottom="0.19685039370078741" header="0" footer="0"/>
  <pageSetup paperSize="9" scale="83"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EE13B-3B46-43E2-B07E-CCDB8D0C6788}">
  <sheetPr codeName="Sheet2"/>
  <dimension ref="A1:O9"/>
  <sheetViews>
    <sheetView zoomScaleNormal="100" workbookViewId="0">
      <selection activeCell="F42" sqref="F42"/>
    </sheetView>
  </sheetViews>
  <sheetFormatPr defaultRowHeight="13.5" x14ac:dyDescent="0.15"/>
  <cols>
    <col min="1" max="1" width="6.5" style="3" customWidth="1"/>
    <col min="2" max="2" width="12.5" style="3" customWidth="1"/>
    <col min="3" max="3" width="13.75" style="3" customWidth="1"/>
    <col min="4" max="4" width="8" style="3" customWidth="1"/>
    <col min="5" max="5" width="5" style="3" customWidth="1"/>
    <col min="6" max="6" width="11.25" style="3" customWidth="1"/>
    <col min="7" max="7" width="13.75" style="3" customWidth="1"/>
    <col min="8" max="8" width="8" style="3" customWidth="1"/>
    <col min="9" max="9" width="5" style="3" customWidth="1"/>
    <col min="10" max="10" width="11.25" style="3" customWidth="1"/>
    <col min="11" max="11" width="7.75" style="3" customWidth="1"/>
    <col min="12" max="12" width="11.25" style="3" customWidth="1"/>
    <col min="13" max="14" width="9.375" style="3" customWidth="1"/>
    <col min="15" max="15" width="11.25" style="3" customWidth="1"/>
    <col min="16" max="256" width="9" style="3"/>
    <col min="257" max="257" width="6.5" style="3" customWidth="1"/>
    <col min="258" max="258" width="12.5" style="3" customWidth="1"/>
    <col min="259" max="259" width="13.75" style="3" customWidth="1"/>
    <col min="260" max="260" width="8" style="3" customWidth="1"/>
    <col min="261" max="261" width="5" style="3" customWidth="1"/>
    <col min="262" max="262" width="11.25" style="3" customWidth="1"/>
    <col min="263" max="263" width="13.75" style="3" customWidth="1"/>
    <col min="264" max="264" width="8" style="3" customWidth="1"/>
    <col min="265" max="265" width="5" style="3" customWidth="1"/>
    <col min="266" max="266" width="11.25" style="3" customWidth="1"/>
    <col min="267" max="267" width="7.75" style="3" customWidth="1"/>
    <col min="268" max="268" width="11.25" style="3" customWidth="1"/>
    <col min="269" max="270" width="9.375" style="3" customWidth="1"/>
    <col min="271" max="271" width="11.25" style="3" customWidth="1"/>
    <col min="272" max="512" width="9" style="3"/>
    <col min="513" max="513" width="6.5" style="3" customWidth="1"/>
    <col min="514" max="514" width="12.5" style="3" customWidth="1"/>
    <col min="515" max="515" width="13.75" style="3" customWidth="1"/>
    <col min="516" max="516" width="8" style="3" customWidth="1"/>
    <col min="517" max="517" width="5" style="3" customWidth="1"/>
    <col min="518" max="518" width="11.25" style="3" customWidth="1"/>
    <col min="519" max="519" width="13.75" style="3" customWidth="1"/>
    <col min="520" max="520" width="8" style="3" customWidth="1"/>
    <col min="521" max="521" width="5" style="3" customWidth="1"/>
    <col min="522" max="522" width="11.25" style="3" customWidth="1"/>
    <col min="523" max="523" width="7.75" style="3" customWidth="1"/>
    <col min="524" max="524" width="11.25" style="3" customWidth="1"/>
    <col min="525" max="526" width="9.375" style="3" customWidth="1"/>
    <col min="527" max="527" width="11.25" style="3" customWidth="1"/>
    <col min="528" max="768" width="9" style="3"/>
    <col min="769" max="769" width="6.5" style="3" customWidth="1"/>
    <col min="770" max="770" width="12.5" style="3" customWidth="1"/>
    <col min="771" max="771" width="13.75" style="3" customWidth="1"/>
    <col min="772" max="772" width="8" style="3" customWidth="1"/>
    <col min="773" max="773" width="5" style="3" customWidth="1"/>
    <col min="774" max="774" width="11.25" style="3" customWidth="1"/>
    <col min="775" max="775" width="13.75" style="3" customWidth="1"/>
    <col min="776" max="776" width="8" style="3" customWidth="1"/>
    <col min="777" max="777" width="5" style="3" customWidth="1"/>
    <col min="778" max="778" width="11.25" style="3" customWidth="1"/>
    <col min="779" max="779" width="7.75" style="3" customWidth="1"/>
    <col min="780" max="780" width="11.25" style="3" customWidth="1"/>
    <col min="781" max="782" width="9.375" style="3" customWidth="1"/>
    <col min="783" max="783" width="11.25" style="3" customWidth="1"/>
    <col min="784" max="1024" width="9" style="3"/>
    <col min="1025" max="1025" width="6.5" style="3" customWidth="1"/>
    <col min="1026" max="1026" width="12.5" style="3" customWidth="1"/>
    <col min="1027" max="1027" width="13.75" style="3" customWidth="1"/>
    <col min="1028" max="1028" width="8" style="3" customWidth="1"/>
    <col min="1029" max="1029" width="5" style="3" customWidth="1"/>
    <col min="1030" max="1030" width="11.25" style="3" customWidth="1"/>
    <col min="1031" max="1031" width="13.75" style="3" customWidth="1"/>
    <col min="1032" max="1032" width="8" style="3" customWidth="1"/>
    <col min="1033" max="1033" width="5" style="3" customWidth="1"/>
    <col min="1034" max="1034" width="11.25" style="3" customWidth="1"/>
    <col min="1035" max="1035" width="7.75" style="3" customWidth="1"/>
    <col min="1036" max="1036" width="11.25" style="3" customWidth="1"/>
    <col min="1037" max="1038" width="9.375" style="3" customWidth="1"/>
    <col min="1039" max="1039" width="11.25" style="3" customWidth="1"/>
    <col min="1040" max="1280" width="9" style="3"/>
    <col min="1281" max="1281" width="6.5" style="3" customWidth="1"/>
    <col min="1282" max="1282" width="12.5" style="3" customWidth="1"/>
    <col min="1283" max="1283" width="13.75" style="3" customWidth="1"/>
    <col min="1284" max="1284" width="8" style="3" customWidth="1"/>
    <col min="1285" max="1285" width="5" style="3" customWidth="1"/>
    <col min="1286" max="1286" width="11.25" style="3" customWidth="1"/>
    <col min="1287" max="1287" width="13.75" style="3" customWidth="1"/>
    <col min="1288" max="1288" width="8" style="3" customWidth="1"/>
    <col min="1289" max="1289" width="5" style="3" customWidth="1"/>
    <col min="1290" max="1290" width="11.25" style="3" customWidth="1"/>
    <col min="1291" max="1291" width="7.75" style="3" customWidth="1"/>
    <col min="1292" max="1292" width="11.25" style="3" customWidth="1"/>
    <col min="1293" max="1294" width="9.375" style="3" customWidth="1"/>
    <col min="1295" max="1295" width="11.25" style="3" customWidth="1"/>
    <col min="1296" max="1536" width="9" style="3"/>
    <col min="1537" max="1537" width="6.5" style="3" customWidth="1"/>
    <col min="1538" max="1538" width="12.5" style="3" customWidth="1"/>
    <col min="1539" max="1539" width="13.75" style="3" customWidth="1"/>
    <col min="1540" max="1540" width="8" style="3" customWidth="1"/>
    <col min="1541" max="1541" width="5" style="3" customWidth="1"/>
    <col min="1542" max="1542" width="11.25" style="3" customWidth="1"/>
    <col min="1543" max="1543" width="13.75" style="3" customWidth="1"/>
    <col min="1544" max="1544" width="8" style="3" customWidth="1"/>
    <col min="1545" max="1545" width="5" style="3" customWidth="1"/>
    <col min="1546" max="1546" width="11.25" style="3" customWidth="1"/>
    <col min="1547" max="1547" width="7.75" style="3" customWidth="1"/>
    <col min="1548" max="1548" width="11.25" style="3" customWidth="1"/>
    <col min="1549" max="1550" width="9.375" style="3" customWidth="1"/>
    <col min="1551" max="1551" width="11.25" style="3" customWidth="1"/>
    <col min="1552" max="1792" width="9" style="3"/>
    <col min="1793" max="1793" width="6.5" style="3" customWidth="1"/>
    <col min="1794" max="1794" width="12.5" style="3" customWidth="1"/>
    <col min="1795" max="1795" width="13.75" style="3" customWidth="1"/>
    <col min="1796" max="1796" width="8" style="3" customWidth="1"/>
    <col min="1797" max="1797" width="5" style="3" customWidth="1"/>
    <col min="1798" max="1798" width="11.25" style="3" customWidth="1"/>
    <col min="1799" max="1799" width="13.75" style="3" customWidth="1"/>
    <col min="1800" max="1800" width="8" style="3" customWidth="1"/>
    <col min="1801" max="1801" width="5" style="3" customWidth="1"/>
    <col min="1802" max="1802" width="11.25" style="3" customWidth="1"/>
    <col min="1803" max="1803" width="7.75" style="3" customWidth="1"/>
    <col min="1804" max="1804" width="11.25" style="3" customWidth="1"/>
    <col min="1805" max="1806" width="9.375" style="3" customWidth="1"/>
    <col min="1807" max="1807" width="11.25" style="3" customWidth="1"/>
    <col min="1808" max="2048" width="9" style="3"/>
    <col min="2049" max="2049" width="6.5" style="3" customWidth="1"/>
    <col min="2050" max="2050" width="12.5" style="3" customWidth="1"/>
    <col min="2051" max="2051" width="13.75" style="3" customWidth="1"/>
    <col min="2052" max="2052" width="8" style="3" customWidth="1"/>
    <col min="2053" max="2053" width="5" style="3" customWidth="1"/>
    <col min="2054" max="2054" width="11.25" style="3" customWidth="1"/>
    <col min="2055" max="2055" width="13.75" style="3" customWidth="1"/>
    <col min="2056" max="2056" width="8" style="3" customWidth="1"/>
    <col min="2057" max="2057" width="5" style="3" customWidth="1"/>
    <col min="2058" max="2058" width="11.25" style="3" customWidth="1"/>
    <col min="2059" max="2059" width="7.75" style="3" customWidth="1"/>
    <col min="2060" max="2060" width="11.25" style="3" customWidth="1"/>
    <col min="2061" max="2062" width="9.375" style="3" customWidth="1"/>
    <col min="2063" max="2063" width="11.25" style="3" customWidth="1"/>
    <col min="2064" max="2304" width="9" style="3"/>
    <col min="2305" max="2305" width="6.5" style="3" customWidth="1"/>
    <col min="2306" max="2306" width="12.5" style="3" customWidth="1"/>
    <col min="2307" max="2307" width="13.75" style="3" customWidth="1"/>
    <col min="2308" max="2308" width="8" style="3" customWidth="1"/>
    <col min="2309" max="2309" width="5" style="3" customWidth="1"/>
    <col min="2310" max="2310" width="11.25" style="3" customWidth="1"/>
    <col min="2311" max="2311" width="13.75" style="3" customWidth="1"/>
    <col min="2312" max="2312" width="8" style="3" customWidth="1"/>
    <col min="2313" max="2313" width="5" style="3" customWidth="1"/>
    <col min="2314" max="2314" width="11.25" style="3" customWidth="1"/>
    <col min="2315" max="2315" width="7.75" style="3" customWidth="1"/>
    <col min="2316" max="2316" width="11.25" style="3" customWidth="1"/>
    <col min="2317" max="2318" width="9.375" style="3" customWidth="1"/>
    <col min="2319" max="2319" width="11.25" style="3" customWidth="1"/>
    <col min="2320" max="2560" width="9" style="3"/>
    <col min="2561" max="2561" width="6.5" style="3" customWidth="1"/>
    <col min="2562" max="2562" width="12.5" style="3" customWidth="1"/>
    <col min="2563" max="2563" width="13.75" style="3" customWidth="1"/>
    <col min="2564" max="2564" width="8" style="3" customWidth="1"/>
    <col min="2565" max="2565" width="5" style="3" customWidth="1"/>
    <col min="2566" max="2566" width="11.25" style="3" customWidth="1"/>
    <col min="2567" max="2567" width="13.75" style="3" customWidth="1"/>
    <col min="2568" max="2568" width="8" style="3" customWidth="1"/>
    <col min="2569" max="2569" width="5" style="3" customWidth="1"/>
    <col min="2570" max="2570" width="11.25" style="3" customWidth="1"/>
    <col min="2571" max="2571" width="7.75" style="3" customWidth="1"/>
    <col min="2572" max="2572" width="11.25" style="3" customWidth="1"/>
    <col min="2573" max="2574" width="9.375" style="3" customWidth="1"/>
    <col min="2575" max="2575" width="11.25" style="3" customWidth="1"/>
    <col min="2576" max="2816" width="9" style="3"/>
    <col min="2817" max="2817" width="6.5" style="3" customWidth="1"/>
    <col min="2818" max="2818" width="12.5" style="3" customWidth="1"/>
    <col min="2819" max="2819" width="13.75" style="3" customWidth="1"/>
    <col min="2820" max="2820" width="8" style="3" customWidth="1"/>
    <col min="2821" max="2821" width="5" style="3" customWidth="1"/>
    <col min="2822" max="2822" width="11.25" style="3" customWidth="1"/>
    <col min="2823" max="2823" width="13.75" style="3" customWidth="1"/>
    <col min="2824" max="2824" width="8" style="3" customWidth="1"/>
    <col min="2825" max="2825" width="5" style="3" customWidth="1"/>
    <col min="2826" max="2826" width="11.25" style="3" customWidth="1"/>
    <col min="2827" max="2827" width="7.75" style="3" customWidth="1"/>
    <col min="2828" max="2828" width="11.25" style="3" customWidth="1"/>
    <col min="2829" max="2830" width="9.375" style="3" customWidth="1"/>
    <col min="2831" max="2831" width="11.25" style="3" customWidth="1"/>
    <col min="2832" max="3072" width="9" style="3"/>
    <col min="3073" max="3073" width="6.5" style="3" customWidth="1"/>
    <col min="3074" max="3074" width="12.5" style="3" customWidth="1"/>
    <col min="3075" max="3075" width="13.75" style="3" customWidth="1"/>
    <col min="3076" max="3076" width="8" style="3" customWidth="1"/>
    <col min="3077" max="3077" width="5" style="3" customWidth="1"/>
    <col min="3078" max="3078" width="11.25" style="3" customWidth="1"/>
    <col min="3079" max="3079" width="13.75" style="3" customWidth="1"/>
    <col min="3080" max="3080" width="8" style="3" customWidth="1"/>
    <col min="3081" max="3081" width="5" style="3" customWidth="1"/>
    <col min="3082" max="3082" width="11.25" style="3" customWidth="1"/>
    <col min="3083" max="3083" width="7.75" style="3" customWidth="1"/>
    <col min="3084" max="3084" width="11.25" style="3" customWidth="1"/>
    <col min="3085" max="3086" width="9.375" style="3" customWidth="1"/>
    <col min="3087" max="3087" width="11.25" style="3" customWidth="1"/>
    <col min="3088" max="3328" width="9" style="3"/>
    <col min="3329" max="3329" width="6.5" style="3" customWidth="1"/>
    <col min="3330" max="3330" width="12.5" style="3" customWidth="1"/>
    <col min="3331" max="3331" width="13.75" style="3" customWidth="1"/>
    <col min="3332" max="3332" width="8" style="3" customWidth="1"/>
    <col min="3333" max="3333" width="5" style="3" customWidth="1"/>
    <col min="3334" max="3334" width="11.25" style="3" customWidth="1"/>
    <col min="3335" max="3335" width="13.75" style="3" customWidth="1"/>
    <col min="3336" max="3336" width="8" style="3" customWidth="1"/>
    <col min="3337" max="3337" width="5" style="3" customWidth="1"/>
    <col min="3338" max="3338" width="11.25" style="3" customWidth="1"/>
    <col min="3339" max="3339" width="7.75" style="3" customWidth="1"/>
    <col min="3340" max="3340" width="11.25" style="3" customWidth="1"/>
    <col min="3341" max="3342" width="9.375" style="3" customWidth="1"/>
    <col min="3343" max="3343" width="11.25" style="3" customWidth="1"/>
    <col min="3344" max="3584" width="9" style="3"/>
    <col min="3585" max="3585" width="6.5" style="3" customWidth="1"/>
    <col min="3586" max="3586" width="12.5" style="3" customWidth="1"/>
    <col min="3587" max="3587" width="13.75" style="3" customWidth="1"/>
    <col min="3588" max="3588" width="8" style="3" customWidth="1"/>
    <col min="3589" max="3589" width="5" style="3" customWidth="1"/>
    <col min="3590" max="3590" width="11.25" style="3" customWidth="1"/>
    <col min="3591" max="3591" width="13.75" style="3" customWidth="1"/>
    <col min="3592" max="3592" width="8" style="3" customWidth="1"/>
    <col min="3593" max="3593" width="5" style="3" customWidth="1"/>
    <col min="3594" max="3594" width="11.25" style="3" customWidth="1"/>
    <col min="3595" max="3595" width="7.75" style="3" customWidth="1"/>
    <col min="3596" max="3596" width="11.25" style="3" customWidth="1"/>
    <col min="3597" max="3598" width="9.375" style="3" customWidth="1"/>
    <col min="3599" max="3599" width="11.25" style="3" customWidth="1"/>
    <col min="3600" max="3840" width="9" style="3"/>
    <col min="3841" max="3841" width="6.5" style="3" customWidth="1"/>
    <col min="3842" max="3842" width="12.5" style="3" customWidth="1"/>
    <col min="3843" max="3843" width="13.75" style="3" customWidth="1"/>
    <col min="3844" max="3844" width="8" style="3" customWidth="1"/>
    <col min="3845" max="3845" width="5" style="3" customWidth="1"/>
    <col min="3846" max="3846" width="11.25" style="3" customWidth="1"/>
    <col min="3847" max="3847" width="13.75" style="3" customWidth="1"/>
    <col min="3848" max="3848" width="8" style="3" customWidth="1"/>
    <col min="3849" max="3849" width="5" style="3" customWidth="1"/>
    <col min="3850" max="3850" width="11.25" style="3" customWidth="1"/>
    <col min="3851" max="3851" width="7.75" style="3" customWidth="1"/>
    <col min="3852" max="3852" width="11.25" style="3" customWidth="1"/>
    <col min="3853" max="3854" width="9.375" style="3" customWidth="1"/>
    <col min="3855" max="3855" width="11.25" style="3" customWidth="1"/>
    <col min="3856" max="4096" width="9" style="3"/>
    <col min="4097" max="4097" width="6.5" style="3" customWidth="1"/>
    <col min="4098" max="4098" width="12.5" style="3" customWidth="1"/>
    <col min="4099" max="4099" width="13.75" style="3" customWidth="1"/>
    <col min="4100" max="4100" width="8" style="3" customWidth="1"/>
    <col min="4101" max="4101" width="5" style="3" customWidth="1"/>
    <col min="4102" max="4102" width="11.25" style="3" customWidth="1"/>
    <col min="4103" max="4103" width="13.75" style="3" customWidth="1"/>
    <col min="4104" max="4104" width="8" style="3" customWidth="1"/>
    <col min="4105" max="4105" width="5" style="3" customWidth="1"/>
    <col min="4106" max="4106" width="11.25" style="3" customWidth="1"/>
    <col min="4107" max="4107" width="7.75" style="3" customWidth="1"/>
    <col min="4108" max="4108" width="11.25" style="3" customWidth="1"/>
    <col min="4109" max="4110" width="9.375" style="3" customWidth="1"/>
    <col min="4111" max="4111" width="11.25" style="3" customWidth="1"/>
    <col min="4112" max="4352" width="9" style="3"/>
    <col min="4353" max="4353" width="6.5" style="3" customWidth="1"/>
    <col min="4354" max="4354" width="12.5" style="3" customWidth="1"/>
    <col min="4355" max="4355" width="13.75" style="3" customWidth="1"/>
    <col min="4356" max="4356" width="8" style="3" customWidth="1"/>
    <col min="4357" max="4357" width="5" style="3" customWidth="1"/>
    <col min="4358" max="4358" width="11.25" style="3" customWidth="1"/>
    <col min="4359" max="4359" width="13.75" style="3" customWidth="1"/>
    <col min="4360" max="4360" width="8" style="3" customWidth="1"/>
    <col min="4361" max="4361" width="5" style="3" customWidth="1"/>
    <col min="4362" max="4362" width="11.25" style="3" customWidth="1"/>
    <col min="4363" max="4363" width="7.75" style="3" customWidth="1"/>
    <col min="4364" max="4364" width="11.25" style="3" customWidth="1"/>
    <col min="4365" max="4366" width="9.375" style="3" customWidth="1"/>
    <col min="4367" max="4367" width="11.25" style="3" customWidth="1"/>
    <col min="4368" max="4608" width="9" style="3"/>
    <col min="4609" max="4609" width="6.5" style="3" customWidth="1"/>
    <col min="4610" max="4610" width="12.5" style="3" customWidth="1"/>
    <col min="4611" max="4611" width="13.75" style="3" customWidth="1"/>
    <col min="4612" max="4612" width="8" style="3" customWidth="1"/>
    <col min="4613" max="4613" width="5" style="3" customWidth="1"/>
    <col min="4614" max="4614" width="11.25" style="3" customWidth="1"/>
    <col min="4615" max="4615" width="13.75" style="3" customWidth="1"/>
    <col min="4616" max="4616" width="8" style="3" customWidth="1"/>
    <col min="4617" max="4617" width="5" style="3" customWidth="1"/>
    <col min="4618" max="4618" width="11.25" style="3" customWidth="1"/>
    <col min="4619" max="4619" width="7.75" style="3" customWidth="1"/>
    <col min="4620" max="4620" width="11.25" style="3" customWidth="1"/>
    <col min="4621" max="4622" width="9.375" style="3" customWidth="1"/>
    <col min="4623" max="4623" width="11.25" style="3" customWidth="1"/>
    <col min="4624" max="4864" width="9" style="3"/>
    <col min="4865" max="4865" width="6.5" style="3" customWidth="1"/>
    <col min="4866" max="4866" width="12.5" style="3" customWidth="1"/>
    <col min="4867" max="4867" width="13.75" style="3" customWidth="1"/>
    <col min="4868" max="4868" width="8" style="3" customWidth="1"/>
    <col min="4869" max="4869" width="5" style="3" customWidth="1"/>
    <col min="4870" max="4870" width="11.25" style="3" customWidth="1"/>
    <col min="4871" max="4871" width="13.75" style="3" customWidth="1"/>
    <col min="4872" max="4872" width="8" style="3" customWidth="1"/>
    <col min="4873" max="4873" width="5" style="3" customWidth="1"/>
    <col min="4874" max="4874" width="11.25" style="3" customWidth="1"/>
    <col min="4875" max="4875" width="7.75" style="3" customWidth="1"/>
    <col min="4876" max="4876" width="11.25" style="3" customWidth="1"/>
    <col min="4877" max="4878" width="9.375" style="3" customWidth="1"/>
    <col min="4879" max="4879" width="11.25" style="3" customWidth="1"/>
    <col min="4880" max="5120" width="9" style="3"/>
    <col min="5121" max="5121" width="6.5" style="3" customWidth="1"/>
    <col min="5122" max="5122" width="12.5" style="3" customWidth="1"/>
    <col min="5123" max="5123" width="13.75" style="3" customWidth="1"/>
    <col min="5124" max="5124" width="8" style="3" customWidth="1"/>
    <col min="5125" max="5125" width="5" style="3" customWidth="1"/>
    <col min="5126" max="5126" width="11.25" style="3" customWidth="1"/>
    <col min="5127" max="5127" width="13.75" style="3" customWidth="1"/>
    <col min="5128" max="5128" width="8" style="3" customWidth="1"/>
    <col min="5129" max="5129" width="5" style="3" customWidth="1"/>
    <col min="5130" max="5130" width="11.25" style="3" customWidth="1"/>
    <col min="5131" max="5131" width="7.75" style="3" customWidth="1"/>
    <col min="5132" max="5132" width="11.25" style="3" customWidth="1"/>
    <col min="5133" max="5134" width="9.375" style="3" customWidth="1"/>
    <col min="5135" max="5135" width="11.25" style="3" customWidth="1"/>
    <col min="5136" max="5376" width="9" style="3"/>
    <col min="5377" max="5377" width="6.5" style="3" customWidth="1"/>
    <col min="5378" max="5378" width="12.5" style="3" customWidth="1"/>
    <col min="5379" max="5379" width="13.75" style="3" customWidth="1"/>
    <col min="5380" max="5380" width="8" style="3" customWidth="1"/>
    <col min="5381" max="5381" width="5" style="3" customWidth="1"/>
    <col min="5382" max="5382" width="11.25" style="3" customWidth="1"/>
    <col min="5383" max="5383" width="13.75" style="3" customWidth="1"/>
    <col min="5384" max="5384" width="8" style="3" customWidth="1"/>
    <col min="5385" max="5385" width="5" style="3" customWidth="1"/>
    <col min="5386" max="5386" width="11.25" style="3" customWidth="1"/>
    <col min="5387" max="5387" width="7.75" style="3" customWidth="1"/>
    <col min="5388" max="5388" width="11.25" style="3" customWidth="1"/>
    <col min="5389" max="5390" width="9.375" style="3" customWidth="1"/>
    <col min="5391" max="5391" width="11.25" style="3" customWidth="1"/>
    <col min="5392" max="5632" width="9" style="3"/>
    <col min="5633" max="5633" width="6.5" style="3" customWidth="1"/>
    <col min="5634" max="5634" width="12.5" style="3" customWidth="1"/>
    <col min="5635" max="5635" width="13.75" style="3" customWidth="1"/>
    <col min="5636" max="5636" width="8" style="3" customWidth="1"/>
    <col min="5637" max="5637" width="5" style="3" customWidth="1"/>
    <col min="5638" max="5638" width="11.25" style="3" customWidth="1"/>
    <col min="5639" max="5639" width="13.75" style="3" customWidth="1"/>
    <col min="5640" max="5640" width="8" style="3" customWidth="1"/>
    <col min="5641" max="5641" width="5" style="3" customWidth="1"/>
    <col min="5642" max="5642" width="11.25" style="3" customWidth="1"/>
    <col min="5643" max="5643" width="7.75" style="3" customWidth="1"/>
    <col min="5644" max="5644" width="11.25" style="3" customWidth="1"/>
    <col min="5645" max="5646" width="9.375" style="3" customWidth="1"/>
    <col min="5647" max="5647" width="11.25" style="3" customWidth="1"/>
    <col min="5648" max="5888" width="9" style="3"/>
    <col min="5889" max="5889" width="6.5" style="3" customWidth="1"/>
    <col min="5890" max="5890" width="12.5" style="3" customWidth="1"/>
    <col min="5891" max="5891" width="13.75" style="3" customWidth="1"/>
    <col min="5892" max="5892" width="8" style="3" customWidth="1"/>
    <col min="5893" max="5893" width="5" style="3" customWidth="1"/>
    <col min="5894" max="5894" width="11.25" style="3" customWidth="1"/>
    <col min="5895" max="5895" width="13.75" style="3" customWidth="1"/>
    <col min="5896" max="5896" width="8" style="3" customWidth="1"/>
    <col min="5897" max="5897" width="5" style="3" customWidth="1"/>
    <col min="5898" max="5898" width="11.25" style="3" customWidth="1"/>
    <col min="5899" max="5899" width="7.75" style="3" customWidth="1"/>
    <col min="5900" max="5900" width="11.25" style="3" customWidth="1"/>
    <col min="5901" max="5902" width="9.375" style="3" customWidth="1"/>
    <col min="5903" max="5903" width="11.25" style="3" customWidth="1"/>
    <col min="5904" max="6144" width="9" style="3"/>
    <col min="6145" max="6145" width="6.5" style="3" customWidth="1"/>
    <col min="6146" max="6146" width="12.5" style="3" customWidth="1"/>
    <col min="6147" max="6147" width="13.75" style="3" customWidth="1"/>
    <col min="6148" max="6148" width="8" style="3" customWidth="1"/>
    <col min="6149" max="6149" width="5" style="3" customWidth="1"/>
    <col min="6150" max="6150" width="11.25" style="3" customWidth="1"/>
    <col min="6151" max="6151" width="13.75" style="3" customWidth="1"/>
    <col min="6152" max="6152" width="8" style="3" customWidth="1"/>
    <col min="6153" max="6153" width="5" style="3" customWidth="1"/>
    <col min="6154" max="6154" width="11.25" style="3" customWidth="1"/>
    <col min="6155" max="6155" width="7.75" style="3" customWidth="1"/>
    <col min="6156" max="6156" width="11.25" style="3" customWidth="1"/>
    <col min="6157" max="6158" width="9.375" style="3" customWidth="1"/>
    <col min="6159" max="6159" width="11.25" style="3" customWidth="1"/>
    <col min="6160" max="6400" width="9" style="3"/>
    <col min="6401" max="6401" width="6.5" style="3" customWidth="1"/>
    <col min="6402" max="6402" width="12.5" style="3" customWidth="1"/>
    <col min="6403" max="6403" width="13.75" style="3" customWidth="1"/>
    <col min="6404" max="6404" width="8" style="3" customWidth="1"/>
    <col min="6405" max="6405" width="5" style="3" customWidth="1"/>
    <col min="6406" max="6406" width="11.25" style="3" customWidth="1"/>
    <col min="6407" max="6407" width="13.75" style="3" customWidth="1"/>
    <col min="6408" max="6408" width="8" style="3" customWidth="1"/>
    <col min="6409" max="6409" width="5" style="3" customWidth="1"/>
    <col min="6410" max="6410" width="11.25" style="3" customWidth="1"/>
    <col min="6411" max="6411" width="7.75" style="3" customWidth="1"/>
    <col min="6412" max="6412" width="11.25" style="3" customWidth="1"/>
    <col min="6413" max="6414" width="9.375" style="3" customWidth="1"/>
    <col min="6415" max="6415" width="11.25" style="3" customWidth="1"/>
    <col min="6416" max="6656" width="9" style="3"/>
    <col min="6657" max="6657" width="6.5" style="3" customWidth="1"/>
    <col min="6658" max="6658" width="12.5" style="3" customWidth="1"/>
    <col min="6659" max="6659" width="13.75" style="3" customWidth="1"/>
    <col min="6660" max="6660" width="8" style="3" customWidth="1"/>
    <col min="6661" max="6661" width="5" style="3" customWidth="1"/>
    <col min="6662" max="6662" width="11.25" style="3" customWidth="1"/>
    <col min="6663" max="6663" width="13.75" style="3" customWidth="1"/>
    <col min="6664" max="6664" width="8" style="3" customWidth="1"/>
    <col min="6665" max="6665" width="5" style="3" customWidth="1"/>
    <col min="6666" max="6666" width="11.25" style="3" customWidth="1"/>
    <col min="6667" max="6667" width="7.75" style="3" customWidth="1"/>
    <col min="6668" max="6668" width="11.25" style="3" customWidth="1"/>
    <col min="6669" max="6670" width="9.375" style="3" customWidth="1"/>
    <col min="6671" max="6671" width="11.25" style="3" customWidth="1"/>
    <col min="6672" max="6912" width="9" style="3"/>
    <col min="6913" max="6913" width="6.5" style="3" customWidth="1"/>
    <col min="6914" max="6914" width="12.5" style="3" customWidth="1"/>
    <col min="6915" max="6915" width="13.75" style="3" customWidth="1"/>
    <col min="6916" max="6916" width="8" style="3" customWidth="1"/>
    <col min="6917" max="6917" width="5" style="3" customWidth="1"/>
    <col min="6918" max="6918" width="11.25" style="3" customWidth="1"/>
    <col min="6919" max="6919" width="13.75" style="3" customWidth="1"/>
    <col min="6920" max="6920" width="8" style="3" customWidth="1"/>
    <col min="6921" max="6921" width="5" style="3" customWidth="1"/>
    <col min="6922" max="6922" width="11.25" style="3" customWidth="1"/>
    <col min="6923" max="6923" width="7.75" style="3" customWidth="1"/>
    <col min="6924" max="6924" width="11.25" style="3" customWidth="1"/>
    <col min="6925" max="6926" width="9.375" style="3" customWidth="1"/>
    <col min="6927" max="6927" width="11.25" style="3" customWidth="1"/>
    <col min="6928" max="7168" width="9" style="3"/>
    <col min="7169" max="7169" width="6.5" style="3" customWidth="1"/>
    <col min="7170" max="7170" width="12.5" style="3" customWidth="1"/>
    <col min="7171" max="7171" width="13.75" style="3" customWidth="1"/>
    <col min="7172" max="7172" width="8" style="3" customWidth="1"/>
    <col min="7173" max="7173" width="5" style="3" customWidth="1"/>
    <col min="7174" max="7174" width="11.25" style="3" customWidth="1"/>
    <col min="7175" max="7175" width="13.75" style="3" customWidth="1"/>
    <col min="7176" max="7176" width="8" style="3" customWidth="1"/>
    <col min="7177" max="7177" width="5" style="3" customWidth="1"/>
    <col min="7178" max="7178" width="11.25" style="3" customWidth="1"/>
    <col min="7179" max="7179" width="7.75" style="3" customWidth="1"/>
    <col min="7180" max="7180" width="11.25" style="3" customWidth="1"/>
    <col min="7181" max="7182" width="9.375" style="3" customWidth="1"/>
    <col min="7183" max="7183" width="11.25" style="3" customWidth="1"/>
    <col min="7184" max="7424" width="9" style="3"/>
    <col min="7425" max="7425" width="6.5" style="3" customWidth="1"/>
    <col min="7426" max="7426" width="12.5" style="3" customWidth="1"/>
    <col min="7427" max="7427" width="13.75" style="3" customWidth="1"/>
    <col min="7428" max="7428" width="8" style="3" customWidth="1"/>
    <col min="7429" max="7429" width="5" style="3" customWidth="1"/>
    <col min="7430" max="7430" width="11.25" style="3" customWidth="1"/>
    <col min="7431" max="7431" width="13.75" style="3" customWidth="1"/>
    <col min="7432" max="7432" width="8" style="3" customWidth="1"/>
    <col min="7433" max="7433" width="5" style="3" customWidth="1"/>
    <col min="7434" max="7434" width="11.25" style="3" customWidth="1"/>
    <col min="7435" max="7435" width="7.75" style="3" customWidth="1"/>
    <col min="7436" max="7436" width="11.25" style="3" customWidth="1"/>
    <col min="7437" max="7438" width="9.375" style="3" customWidth="1"/>
    <col min="7439" max="7439" width="11.25" style="3" customWidth="1"/>
    <col min="7440" max="7680" width="9" style="3"/>
    <col min="7681" max="7681" width="6.5" style="3" customWidth="1"/>
    <col min="7682" max="7682" width="12.5" style="3" customWidth="1"/>
    <col min="7683" max="7683" width="13.75" style="3" customWidth="1"/>
    <col min="7684" max="7684" width="8" style="3" customWidth="1"/>
    <col min="7685" max="7685" width="5" style="3" customWidth="1"/>
    <col min="7686" max="7686" width="11.25" style="3" customWidth="1"/>
    <col min="7687" max="7687" width="13.75" style="3" customWidth="1"/>
    <col min="7688" max="7688" width="8" style="3" customWidth="1"/>
    <col min="7689" max="7689" width="5" style="3" customWidth="1"/>
    <col min="7690" max="7690" width="11.25" style="3" customWidth="1"/>
    <col min="7691" max="7691" width="7.75" style="3" customWidth="1"/>
    <col min="7692" max="7692" width="11.25" style="3" customWidth="1"/>
    <col min="7693" max="7694" width="9.375" style="3" customWidth="1"/>
    <col min="7695" max="7695" width="11.25" style="3" customWidth="1"/>
    <col min="7696" max="7936" width="9" style="3"/>
    <col min="7937" max="7937" width="6.5" style="3" customWidth="1"/>
    <col min="7938" max="7938" width="12.5" style="3" customWidth="1"/>
    <col min="7939" max="7939" width="13.75" style="3" customWidth="1"/>
    <col min="7940" max="7940" width="8" style="3" customWidth="1"/>
    <col min="7941" max="7941" width="5" style="3" customWidth="1"/>
    <col min="7942" max="7942" width="11.25" style="3" customWidth="1"/>
    <col min="7943" max="7943" width="13.75" style="3" customWidth="1"/>
    <col min="7944" max="7944" width="8" style="3" customWidth="1"/>
    <col min="7945" max="7945" width="5" style="3" customWidth="1"/>
    <col min="7946" max="7946" width="11.25" style="3" customWidth="1"/>
    <col min="7947" max="7947" width="7.75" style="3" customWidth="1"/>
    <col min="7948" max="7948" width="11.25" style="3" customWidth="1"/>
    <col min="7949" max="7950" width="9.375" style="3" customWidth="1"/>
    <col min="7951" max="7951" width="11.25" style="3" customWidth="1"/>
    <col min="7952" max="8192" width="9" style="3"/>
    <col min="8193" max="8193" width="6.5" style="3" customWidth="1"/>
    <col min="8194" max="8194" width="12.5" style="3" customWidth="1"/>
    <col min="8195" max="8195" width="13.75" style="3" customWidth="1"/>
    <col min="8196" max="8196" width="8" style="3" customWidth="1"/>
    <col min="8197" max="8197" width="5" style="3" customWidth="1"/>
    <col min="8198" max="8198" width="11.25" style="3" customWidth="1"/>
    <col min="8199" max="8199" width="13.75" style="3" customWidth="1"/>
    <col min="8200" max="8200" width="8" style="3" customWidth="1"/>
    <col min="8201" max="8201" width="5" style="3" customWidth="1"/>
    <col min="8202" max="8202" width="11.25" style="3" customWidth="1"/>
    <col min="8203" max="8203" width="7.75" style="3" customWidth="1"/>
    <col min="8204" max="8204" width="11.25" style="3" customWidth="1"/>
    <col min="8205" max="8206" width="9.375" style="3" customWidth="1"/>
    <col min="8207" max="8207" width="11.25" style="3" customWidth="1"/>
    <col min="8208" max="8448" width="9" style="3"/>
    <col min="8449" max="8449" width="6.5" style="3" customWidth="1"/>
    <col min="8450" max="8450" width="12.5" style="3" customWidth="1"/>
    <col min="8451" max="8451" width="13.75" style="3" customWidth="1"/>
    <col min="8452" max="8452" width="8" style="3" customWidth="1"/>
    <col min="8453" max="8453" width="5" style="3" customWidth="1"/>
    <col min="8454" max="8454" width="11.25" style="3" customWidth="1"/>
    <col min="8455" max="8455" width="13.75" style="3" customWidth="1"/>
    <col min="8456" max="8456" width="8" style="3" customWidth="1"/>
    <col min="8457" max="8457" width="5" style="3" customWidth="1"/>
    <col min="8458" max="8458" width="11.25" style="3" customWidth="1"/>
    <col min="8459" max="8459" width="7.75" style="3" customWidth="1"/>
    <col min="8460" max="8460" width="11.25" style="3" customWidth="1"/>
    <col min="8461" max="8462" width="9.375" style="3" customWidth="1"/>
    <col min="8463" max="8463" width="11.25" style="3" customWidth="1"/>
    <col min="8464" max="8704" width="9" style="3"/>
    <col min="8705" max="8705" width="6.5" style="3" customWidth="1"/>
    <col min="8706" max="8706" width="12.5" style="3" customWidth="1"/>
    <col min="8707" max="8707" width="13.75" style="3" customWidth="1"/>
    <col min="8708" max="8708" width="8" style="3" customWidth="1"/>
    <col min="8709" max="8709" width="5" style="3" customWidth="1"/>
    <col min="8710" max="8710" width="11.25" style="3" customWidth="1"/>
    <col min="8711" max="8711" width="13.75" style="3" customWidth="1"/>
    <col min="8712" max="8712" width="8" style="3" customWidth="1"/>
    <col min="8713" max="8713" width="5" style="3" customWidth="1"/>
    <col min="8714" max="8714" width="11.25" style="3" customWidth="1"/>
    <col min="8715" max="8715" width="7.75" style="3" customWidth="1"/>
    <col min="8716" max="8716" width="11.25" style="3" customWidth="1"/>
    <col min="8717" max="8718" width="9.375" style="3" customWidth="1"/>
    <col min="8719" max="8719" width="11.25" style="3" customWidth="1"/>
    <col min="8720" max="8960" width="9" style="3"/>
    <col min="8961" max="8961" width="6.5" style="3" customWidth="1"/>
    <col min="8962" max="8962" width="12.5" style="3" customWidth="1"/>
    <col min="8963" max="8963" width="13.75" style="3" customWidth="1"/>
    <col min="8964" max="8964" width="8" style="3" customWidth="1"/>
    <col min="8965" max="8965" width="5" style="3" customWidth="1"/>
    <col min="8966" max="8966" width="11.25" style="3" customWidth="1"/>
    <col min="8967" max="8967" width="13.75" style="3" customWidth="1"/>
    <col min="8968" max="8968" width="8" style="3" customWidth="1"/>
    <col min="8969" max="8969" width="5" style="3" customWidth="1"/>
    <col min="8970" max="8970" width="11.25" style="3" customWidth="1"/>
    <col min="8971" max="8971" width="7.75" style="3" customWidth="1"/>
    <col min="8972" max="8972" width="11.25" style="3" customWidth="1"/>
    <col min="8973" max="8974" width="9.375" style="3" customWidth="1"/>
    <col min="8975" max="8975" width="11.25" style="3" customWidth="1"/>
    <col min="8976" max="9216" width="9" style="3"/>
    <col min="9217" max="9217" width="6.5" style="3" customWidth="1"/>
    <col min="9218" max="9218" width="12.5" style="3" customWidth="1"/>
    <col min="9219" max="9219" width="13.75" style="3" customWidth="1"/>
    <col min="9220" max="9220" width="8" style="3" customWidth="1"/>
    <col min="9221" max="9221" width="5" style="3" customWidth="1"/>
    <col min="9222" max="9222" width="11.25" style="3" customWidth="1"/>
    <col min="9223" max="9223" width="13.75" style="3" customWidth="1"/>
    <col min="9224" max="9224" width="8" style="3" customWidth="1"/>
    <col min="9225" max="9225" width="5" style="3" customWidth="1"/>
    <col min="9226" max="9226" width="11.25" style="3" customWidth="1"/>
    <col min="9227" max="9227" width="7.75" style="3" customWidth="1"/>
    <col min="9228" max="9228" width="11.25" style="3" customWidth="1"/>
    <col min="9229" max="9230" width="9.375" style="3" customWidth="1"/>
    <col min="9231" max="9231" width="11.25" style="3" customWidth="1"/>
    <col min="9232" max="9472" width="9" style="3"/>
    <col min="9473" max="9473" width="6.5" style="3" customWidth="1"/>
    <col min="9474" max="9474" width="12.5" style="3" customWidth="1"/>
    <col min="9475" max="9475" width="13.75" style="3" customWidth="1"/>
    <col min="9476" max="9476" width="8" style="3" customWidth="1"/>
    <col min="9477" max="9477" width="5" style="3" customWidth="1"/>
    <col min="9478" max="9478" width="11.25" style="3" customWidth="1"/>
    <col min="9479" max="9479" width="13.75" style="3" customWidth="1"/>
    <col min="9480" max="9480" width="8" style="3" customWidth="1"/>
    <col min="9481" max="9481" width="5" style="3" customWidth="1"/>
    <col min="9482" max="9482" width="11.25" style="3" customWidth="1"/>
    <col min="9483" max="9483" width="7.75" style="3" customWidth="1"/>
    <col min="9484" max="9484" width="11.25" style="3" customWidth="1"/>
    <col min="9485" max="9486" width="9.375" style="3" customWidth="1"/>
    <col min="9487" max="9487" width="11.25" style="3" customWidth="1"/>
    <col min="9488" max="9728" width="9" style="3"/>
    <col min="9729" max="9729" width="6.5" style="3" customWidth="1"/>
    <col min="9730" max="9730" width="12.5" style="3" customWidth="1"/>
    <col min="9731" max="9731" width="13.75" style="3" customWidth="1"/>
    <col min="9732" max="9732" width="8" style="3" customWidth="1"/>
    <col min="9733" max="9733" width="5" style="3" customWidth="1"/>
    <col min="9734" max="9734" width="11.25" style="3" customWidth="1"/>
    <col min="9735" max="9735" width="13.75" style="3" customWidth="1"/>
    <col min="9736" max="9736" width="8" style="3" customWidth="1"/>
    <col min="9737" max="9737" width="5" style="3" customWidth="1"/>
    <col min="9738" max="9738" width="11.25" style="3" customWidth="1"/>
    <col min="9739" max="9739" width="7.75" style="3" customWidth="1"/>
    <col min="9740" max="9740" width="11.25" style="3" customWidth="1"/>
    <col min="9741" max="9742" width="9.375" style="3" customWidth="1"/>
    <col min="9743" max="9743" width="11.25" style="3" customWidth="1"/>
    <col min="9744" max="9984" width="9" style="3"/>
    <col min="9985" max="9985" width="6.5" style="3" customWidth="1"/>
    <col min="9986" max="9986" width="12.5" style="3" customWidth="1"/>
    <col min="9987" max="9987" width="13.75" style="3" customWidth="1"/>
    <col min="9988" max="9988" width="8" style="3" customWidth="1"/>
    <col min="9989" max="9989" width="5" style="3" customWidth="1"/>
    <col min="9990" max="9990" width="11.25" style="3" customWidth="1"/>
    <col min="9991" max="9991" width="13.75" style="3" customWidth="1"/>
    <col min="9992" max="9992" width="8" style="3" customWidth="1"/>
    <col min="9993" max="9993" width="5" style="3" customWidth="1"/>
    <col min="9994" max="9994" width="11.25" style="3" customWidth="1"/>
    <col min="9995" max="9995" width="7.75" style="3" customWidth="1"/>
    <col min="9996" max="9996" width="11.25" style="3" customWidth="1"/>
    <col min="9997" max="9998" width="9.375" style="3" customWidth="1"/>
    <col min="9999" max="9999" width="11.25" style="3" customWidth="1"/>
    <col min="10000" max="10240" width="9" style="3"/>
    <col min="10241" max="10241" width="6.5" style="3" customWidth="1"/>
    <col min="10242" max="10242" width="12.5" style="3" customWidth="1"/>
    <col min="10243" max="10243" width="13.75" style="3" customWidth="1"/>
    <col min="10244" max="10244" width="8" style="3" customWidth="1"/>
    <col min="10245" max="10245" width="5" style="3" customWidth="1"/>
    <col min="10246" max="10246" width="11.25" style="3" customWidth="1"/>
    <col min="10247" max="10247" width="13.75" style="3" customWidth="1"/>
    <col min="10248" max="10248" width="8" style="3" customWidth="1"/>
    <col min="10249" max="10249" width="5" style="3" customWidth="1"/>
    <col min="10250" max="10250" width="11.25" style="3" customWidth="1"/>
    <col min="10251" max="10251" width="7.75" style="3" customWidth="1"/>
    <col min="10252" max="10252" width="11.25" style="3" customWidth="1"/>
    <col min="10253" max="10254" width="9.375" style="3" customWidth="1"/>
    <col min="10255" max="10255" width="11.25" style="3" customWidth="1"/>
    <col min="10256" max="10496" width="9" style="3"/>
    <col min="10497" max="10497" width="6.5" style="3" customWidth="1"/>
    <col min="10498" max="10498" width="12.5" style="3" customWidth="1"/>
    <col min="10499" max="10499" width="13.75" style="3" customWidth="1"/>
    <col min="10500" max="10500" width="8" style="3" customWidth="1"/>
    <col min="10501" max="10501" width="5" style="3" customWidth="1"/>
    <col min="10502" max="10502" width="11.25" style="3" customWidth="1"/>
    <col min="10503" max="10503" width="13.75" style="3" customWidth="1"/>
    <col min="10504" max="10504" width="8" style="3" customWidth="1"/>
    <col min="10505" max="10505" width="5" style="3" customWidth="1"/>
    <col min="10506" max="10506" width="11.25" style="3" customWidth="1"/>
    <col min="10507" max="10507" width="7.75" style="3" customWidth="1"/>
    <col min="10508" max="10508" width="11.25" style="3" customWidth="1"/>
    <col min="10509" max="10510" width="9.375" style="3" customWidth="1"/>
    <col min="10511" max="10511" width="11.25" style="3" customWidth="1"/>
    <col min="10512" max="10752" width="9" style="3"/>
    <col min="10753" max="10753" width="6.5" style="3" customWidth="1"/>
    <col min="10754" max="10754" width="12.5" style="3" customWidth="1"/>
    <col min="10755" max="10755" width="13.75" style="3" customWidth="1"/>
    <col min="10756" max="10756" width="8" style="3" customWidth="1"/>
    <col min="10757" max="10757" width="5" style="3" customWidth="1"/>
    <col min="10758" max="10758" width="11.25" style="3" customWidth="1"/>
    <col min="10759" max="10759" width="13.75" style="3" customWidth="1"/>
    <col min="10760" max="10760" width="8" style="3" customWidth="1"/>
    <col min="10761" max="10761" width="5" style="3" customWidth="1"/>
    <col min="10762" max="10762" width="11.25" style="3" customWidth="1"/>
    <col min="10763" max="10763" width="7.75" style="3" customWidth="1"/>
    <col min="10764" max="10764" width="11.25" style="3" customWidth="1"/>
    <col min="10765" max="10766" width="9.375" style="3" customWidth="1"/>
    <col min="10767" max="10767" width="11.25" style="3" customWidth="1"/>
    <col min="10768" max="11008" width="9" style="3"/>
    <col min="11009" max="11009" width="6.5" style="3" customWidth="1"/>
    <col min="11010" max="11010" width="12.5" style="3" customWidth="1"/>
    <col min="11011" max="11011" width="13.75" style="3" customWidth="1"/>
    <col min="11012" max="11012" width="8" style="3" customWidth="1"/>
    <col min="11013" max="11013" width="5" style="3" customWidth="1"/>
    <col min="11014" max="11014" width="11.25" style="3" customWidth="1"/>
    <col min="11015" max="11015" width="13.75" style="3" customWidth="1"/>
    <col min="11016" max="11016" width="8" style="3" customWidth="1"/>
    <col min="11017" max="11017" width="5" style="3" customWidth="1"/>
    <col min="11018" max="11018" width="11.25" style="3" customWidth="1"/>
    <col min="11019" max="11019" width="7.75" style="3" customWidth="1"/>
    <col min="11020" max="11020" width="11.25" style="3" customWidth="1"/>
    <col min="11021" max="11022" width="9.375" style="3" customWidth="1"/>
    <col min="11023" max="11023" width="11.25" style="3" customWidth="1"/>
    <col min="11024" max="11264" width="9" style="3"/>
    <col min="11265" max="11265" width="6.5" style="3" customWidth="1"/>
    <col min="11266" max="11266" width="12.5" style="3" customWidth="1"/>
    <col min="11267" max="11267" width="13.75" style="3" customWidth="1"/>
    <col min="11268" max="11268" width="8" style="3" customWidth="1"/>
    <col min="11269" max="11269" width="5" style="3" customWidth="1"/>
    <col min="11270" max="11270" width="11.25" style="3" customWidth="1"/>
    <col min="11271" max="11271" width="13.75" style="3" customWidth="1"/>
    <col min="11272" max="11272" width="8" style="3" customWidth="1"/>
    <col min="11273" max="11273" width="5" style="3" customWidth="1"/>
    <col min="11274" max="11274" width="11.25" style="3" customWidth="1"/>
    <col min="11275" max="11275" width="7.75" style="3" customWidth="1"/>
    <col min="11276" max="11276" width="11.25" style="3" customWidth="1"/>
    <col min="11277" max="11278" width="9.375" style="3" customWidth="1"/>
    <col min="11279" max="11279" width="11.25" style="3" customWidth="1"/>
    <col min="11280" max="11520" width="9" style="3"/>
    <col min="11521" max="11521" width="6.5" style="3" customWidth="1"/>
    <col min="11522" max="11522" width="12.5" style="3" customWidth="1"/>
    <col min="11523" max="11523" width="13.75" style="3" customWidth="1"/>
    <col min="11524" max="11524" width="8" style="3" customWidth="1"/>
    <col min="11525" max="11525" width="5" style="3" customWidth="1"/>
    <col min="11526" max="11526" width="11.25" style="3" customWidth="1"/>
    <col min="11527" max="11527" width="13.75" style="3" customWidth="1"/>
    <col min="11528" max="11528" width="8" style="3" customWidth="1"/>
    <col min="11529" max="11529" width="5" style="3" customWidth="1"/>
    <col min="11530" max="11530" width="11.25" style="3" customWidth="1"/>
    <col min="11531" max="11531" width="7.75" style="3" customWidth="1"/>
    <col min="11532" max="11532" width="11.25" style="3" customWidth="1"/>
    <col min="11533" max="11534" width="9.375" style="3" customWidth="1"/>
    <col min="11535" max="11535" width="11.25" style="3" customWidth="1"/>
    <col min="11536" max="11776" width="9" style="3"/>
    <col min="11777" max="11777" width="6.5" style="3" customWidth="1"/>
    <col min="11778" max="11778" width="12.5" style="3" customWidth="1"/>
    <col min="11779" max="11779" width="13.75" style="3" customWidth="1"/>
    <col min="11780" max="11780" width="8" style="3" customWidth="1"/>
    <col min="11781" max="11781" width="5" style="3" customWidth="1"/>
    <col min="11782" max="11782" width="11.25" style="3" customWidth="1"/>
    <col min="11783" max="11783" width="13.75" style="3" customWidth="1"/>
    <col min="11784" max="11784" width="8" style="3" customWidth="1"/>
    <col min="11785" max="11785" width="5" style="3" customWidth="1"/>
    <col min="11786" max="11786" width="11.25" style="3" customWidth="1"/>
    <col min="11787" max="11787" width="7.75" style="3" customWidth="1"/>
    <col min="11788" max="11788" width="11.25" style="3" customWidth="1"/>
    <col min="11789" max="11790" width="9.375" style="3" customWidth="1"/>
    <col min="11791" max="11791" width="11.25" style="3" customWidth="1"/>
    <col min="11792" max="12032" width="9" style="3"/>
    <col min="12033" max="12033" width="6.5" style="3" customWidth="1"/>
    <col min="12034" max="12034" width="12.5" style="3" customWidth="1"/>
    <col min="12035" max="12035" width="13.75" style="3" customWidth="1"/>
    <col min="12036" max="12036" width="8" style="3" customWidth="1"/>
    <col min="12037" max="12037" width="5" style="3" customWidth="1"/>
    <col min="12038" max="12038" width="11.25" style="3" customWidth="1"/>
    <col min="12039" max="12039" width="13.75" style="3" customWidth="1"/>
    <col min="12040" max="12040" width="8" style="3" customWidth="1"/>
    <col min="12041" max="12041" width="5" style="3" customWidth="1"/>
    <col min="12042" max="12042" width="11.25" style="3" customWidth="1"/>
    <col min="12043" max="12043" width="7.75" style="3" customWidth="1"/>
    <col min="12044" max="12044" width="11.25" style="3" customWidth="1"/>
    <col min="12045" max="12046" width="9.375" style="3" customWidth="1"/>
    <col min="12047" max="12047" width="11.25" style="3" customWidth="1"/>
    <col min="12048" max="12288" width="9" style="3"/>
    <col min="12289" max="12289" width="6.5" style="3" customWidth="1"/>
    <col min="12290" max="12290" width="12.5" style="3" customWidth="1"/>
    <col min="12291" max="12291" width="13.75" style="3" customWidth="1"/>
    <col min="12292" max="12292" width="8" style="3" customWidth="1"/>
    <col min="12293" max="12293" width="5" style="3" customWidth="1"/>
    <col min="12294" max="12294" width="11.25" style="3" customWidth="1"/>
    <col min="12295" max="12295" width="13.75" style="3" customWidth="1"/>
    <col min="12296" max="12296" width="8" style="3" customWidth="1"/>
    <col min="12297" max="12297" width="5" style="3" customWidth="1"/>
    <col min="12298" max="12298" width="11.25" style="3" customWidth="1"/>
    <col min="12299" max="12299" width="7.75" style="3" customWidth="1"/>
    <col min="12300" max="12300" width="11.25" style="3" customWidth="1"/>
    <col min="12301" max="12302" width="9.375" style="3" customWidth="1"/>
    <col min="12303" max="12303" width="11.25" style="3" customWidth="1"/>
    <col min="12304" max="12544" width="9" style="3"/>
    <col min="12545" max="12545" width="6.5" style="3" customWidth="1"/>
    <col min="12546" max="12546" width="12.5" style="3" customWidth="1"/>
    <col min="12547" max="12547" width="13.75" style="3" customWidth="1"/>
    <col min="12548" max="12548" width="8" style="3" customWidth="1"/>
    <col min="12549" max="12549" width="5" style="3" customWidth="1"/>
    <col min="12550" max="12550" width="11.25" style="3" customWidth="1"/>
    <col min="12551" max="12551" width="13.75" style="3" customWidth="1"/>
    <col min="12552" max="12552" width="8" style="3" customWidth="1"/>
    <col min="12553" max="12553" width="5" style="3" customWidth="1"/>
    <col min="12554" max="12554" width="11.25" style="3" customWidth="1"/>
    <col min="12555" max="12555" width="7.75" style="3" customWidth="1"/>
    <col min="12556" max="12556" width="11.25" style="3" customWidth="1"/>
    <col min="12557" max="12558" width="9.375" style="3" customWidth="1"/>
    <col min="12559" max="12559" width="11.25" style="3" customWidth="1"/>
    <col min="12560" max="12800" width="9" style="3"/>
    <col min="12801" max="12801" width="6.5" style="3" customWidth="1"/>
    <col min="12802" max="12802" width="12.5" style="3" customWidth="1"/>
    <col min="12803" max="12803" width="13.75" style="3" customWidth="1"/>
    <col min="12804" max="12804" width="8" style="3" customWidth="1"/>
    <col min="12805" max="12805" width="5" style="3" customWidth="1"/>
    <col min="12806" max="12806" width="11.25" style="3" customWidth="1"/>
    <col min="12807" max="12807" width="13.75" style="3" customWidth="1"/>
    <col min="12808" max="12808" width="8" style="3" customWidth="1"/>
    <col min="12809" max="12809" width="5" style="3" customWidth="1"/>
    <col min="12810" max="12810" width="11.25" style="3" customWidth="1"/>
    <col min="12811" max="12811" width="7.75" style="3" customWidth="1"/>
    <col min="12812" max="12812" width="11.25" style="3" customWidth="1"/>
    <col min="12813" max="12814" width="9.375" style="3" customWidth="1"/>
    <col min="12815" max="12815" width="11.25" style="3" customWidth="1"/>
    <col min="12816" max="13056" width="9" style="3"/>
    <col min="13057" max="13057" width="6.5" style="3" customWidth="1"/>
    <col min="13058" max="13058" width="12.5" style="3" customWidth="1"/>
    <col min="13059" max="13059" width="13.75" style="3" customWidth="1"/>
    <col min="13060" max="13060" width="8" style="3" customWidth="1"/>
    <col min="13061" max="13061" width="5" style="3" customWidth="1"/>
    <col min="13062" max="13062" width="11.25" style="3" customWidth="1"/>
    <col min="13063" max="13063" width="13.75" style="3" customWidth="1"/>
    <col min="13064" max="13064" width="8" style="3" customWidth="1"/>
    <col min="13065" max="13065" width="5" style="3" customWidth="1"/>
    <col min="13066" max="13066" width="11.25" style="3" customWidth="1"/>
    <col min="13067" max="13067" width="7.75" style="3" customWidth="1"/>
    <col min="13068" max="13068" width="11.25" style="3" customWidth="1"/>
    <col min="13069" max="13070" width="9.375" style="3" customWidth="1"/>
    <col min="13071" max="13071" width="11.25" style="3" customWidth="1"/>
    <col min="13072" max="13312" width="9" style="3"/>
    <col min="13313" max="13313" width="6.5" style="3" customWidth="1"/>
    <col min="13314" max="13314" width="12.5" style="3" customWidth="1"/>
    <col min="13315" max="13315" width="13.75" style="3" customWidth="1"/>
    <col min="13316" max="13316" width="8" style="3" customWidth="1"/>
    <col min="13317" max="13317" width="5" style="3" customWidth="1"/>
    <col min="13318" max="13318" width="11.25" style="3" customWidth="1"/>
    <col min="13319" max="13319" width="13.75" style="3" customWidth="1"/>
    <col min="13320" max="13320" width="8" style="3" customWidth="1"/>
    <col min="13321" max="13321" width="5" style="3" customWidth="1"/>
    <col min="13322" max="13322" width="11.25" style="3" customWidth="1"/>
    <col min="13323" max="13323" width="7.75" style="3" customWidth="1"/>
    <col min="13324" max="13324" width="11.25" style="3" customWidth="1"/>
    <col min="13325" max="13326" width="9.375" style="3" customWidth="1"/>
    <col min="13327" max="13327" width="11.25" style="3" customWidth="1"/>
    <col min="13328" max="13568" width="9" style="3"/>
    <col min="13569" max="13569" width="6.5" style="3" customWidth="1"/>
    <col min="13570" max="13570" width="12.5" style="3" customWidth="1"/>
    <col min="13571" max="13571" width="13.75" style="3" customWidth="1"/>
    <col min="13572" max="13572" width="8" style="3" customWidth="1"/>
    <col min="13573" max="13573" width="5" style="3" customWidth="1"/>
    <col min="13574" max="13574" width="11.25" style="3" customWidth="1"/>
    <col min="13575" max="13575" width="13.75" style="3" customWidth="1"/>
    <col min="13576" max="13576" width="8" style="3" customWidth="1"/>
    <col min="13577" max="13577" width="5" style="3" customWidth="1"/>
    <col min="13578" max="13578" width="11.25" style="3" customWidth="1"/>
    <col min="13579" max="13579" width="7.75" style="3" customWidth="1"/>
    <col min="13580" max="13580" width="11.25" style="3" customWidth="1"/>
    <col min="13581" max="13582" width="9.375" style="3" customWidth="1"/>
    <col min="13583" max="13583" width="11.25" style="3" customWidth="1"/>
    <col min="13584" max="13824" width="9" style="3"/>
    <col min="13825" max="13825" width="6.5" style="3" customWidth="1"/>
    <col min="13826" max="13826" width="12.5" style="3" customWidth="1"/>
    <col min="13827" max="13827" width="13.75" style="3" customWidth="1"/>
    <col min="13828" max="13828" width="8" style="3" customWidth="1"/>
    <col min="13829" max="13829" width="5" style="3" customWidth="1"/>
    <col min="13830" max="13830" width="11.25" style="3" customWidth="1"/>
    <col min="13831" max="13831" width="13.75" style="3" customWidth="1"/>
    <col min="13832" max="13832" width="8" style="3" customWidth="1"/>
    <col min="13833" max="13833" width="5" style="3" customWidth="1"/>
    <col min="13834" max="13834" width="11.25" style="3" customWidth="1"/>
    <col min="13835" max="13835" width="7.75" style="3" customWidth="1"/>
    <col min="13836" max="13836" width="11.25" style="3" customWidth="1"/>
    <col min="13837" max="13838" width="9.375" style="3" customWidth="1"/>
    <col min="13839" max="13839" width="11.25" style="3" customWidth="1"/>
    <col min="13840" max="14080" width="9" style="3"/>
    <col min="14081" max="14081" width="6.5" style="3" customWidth="1"/>
    <col min="14082" max="14082" width="12.5" style="3" customWidth="1"/>
    <col min="14083" max="14083" width="13.75" style="3" customWidth="1"/>
    <col min="14084" max="14084" width="8" style="3" customWidth="1"/>
    <col min="14085" max="14085" width="5" style="3" customWidth="1"/>
    <col min="14086" max="14086" width="11.25" style="3" customWidth="1"/>
    <col min="14087" max="14087" width="13.75" style="3" customWidth="1"/>
    <col min="14088" max="14088" width="8" style="3" customWidth="1"/>
    <col min="14089" max="14089" width="5" style="3" customWidth="1"/>
    <col min="14090" max="14090" width="11.25" style="3" customWidth="1"/>
    <col min="14091" max="14091" width="7.75" style="3" customWidth="1"/>
    <col min="14092" max="14092" width="11.25" style="3" customWidth="1"/>
    <col min="14093" max="14094" width="9.375" style="3" customWidth="1"/>
    <col min="14095" max="14095" width="11.25" style="3" customWidth="1"/>
    <col min="14096" max="14336" width="9" style="3"/>
    <col min="14337" max="14337" width="6.5" style="3" customWidth="1"/>
    <col min="14338" max="14338" width="12.5" style="3" customWidth="1"/>
    <col min="14339" max="14339" width="13.75" style="3" customWidth="1"/>
    <col min="14340" max="14340" width="8" style="3" customWidth="1"/>
    <col min="14341" max="14341" width="5" style="3" customWidth="1"/>
    <col min="14342" max="14342" width="11.25" style="3" customWidth="1"/>
    <col min="14343" max="14343" width="13.75" style="3" customWidth="1"/>
    <col min="14344" max="14344" width="8" style="3" customWidth="1"/>
    <col min="14345" max="14345" width="5" style="3" customWidth="1"/>
    <col min="14346" max="14346" width="11.25" style="3" customWidth="1"/>
    <col min="14347" max="14347" width="7.75" style="3" customWidth="1"/>
    <col min="14348" max="14348" width="11.25" style="3" customWidth="1"/>
    <col min="14349" max="14350" width="9.375" style="3" customWidth="1"/>
    <col min="14351" max="14351" width="11.25" style="3" customWidth="1"/>
    <col min="14352" max="14592" width="9" style="3"/>
    <col min="14593" max="14593" width="6.5" style="3" customWidth="1"/>
    <col min="14594" max="14594" width="12.5" style="3" customWidth="1"/>
    <col min="14595" max="14595" width="13.75" style="3" customWidth="1"/>
    <col min="14596" max="14596" width="8" style="3" customWidth="1"/>
    <col min="14597" max="14597" width="5" style="3" customWidth="1"/>
    <col min="14598" max="14598" width="11.25" style="3" customWidth="1"/>
    <col min="14599" max="14599" width="13.75" style="3" customWidth="1"/>
    <col min="14600" max="14600" width="8" style="3" customWidth="1"/>
    <col min="14601" max="14601" width="5" style="3" customWidth="1"/>
    <col min="14602" max="14602" width="11.25" style="3" customWidth="1"/>
    <col min="14603" max="14603" width="7.75" style="3" customWidth="1"/>
    <col min="14604" max="14604" width="11.25" style="3" customWidth="1"/>
    <col min="14605" max="14606" width="9.375" style="3" customWidth="1"/>
    <col min="14607" max="14607" width="11.25" style="3" customWidth="1"/>
    <col min="14608" max="14848" width="9" style="3"/>
    <col min="14849" max="14849" width="6.5" style="3" customWidth="1"/>
    <col min="14850" max="14850" width="12.5" style="3" customWidth="1"/>
    <col min="14851" max="14851" width="13.75" style="3" customWidth="1"/>
    <col min="14852" max="14852" width="8" style="3" customWidth="1"/>
    <col min="14853" max="14853" width="5" style="3" customWidth="1"/>
    <col min="14854" max="14854" width="11.25" style="3" customWidth="1"/>
    <col min="14855" max="14855" width="13.75" style="3" customWidth="1"/>
    <col min="14856" max="14856" width="8" style="3" customWidth="1"/>
    <col min="14857" max="14857" width="5" style="3" customWidth="1"/>
    <col min="14858" max="14858" width="11.25" style="3" customWidth="1"/>
    <col min="14859" max="14859" width="7.75" style="3" customWidth="1"/>
    <col min="14860" max="14860" width="11.25" style="3" customWidth="1"/>
    <col min="14861" max="14862" width="9.375" style="3" customWidth="1"/>
    <col min="14863" max="14863" width="11.25" style="3" customWidth="1"/>
    <col min="14864" max="15104" width="9" style="3"/>
    <col min="15105" max="15105" width="6.5" style="3" customWidth="1"/>
    <col min="15106" max="15106" width="12.5" style="3" customWidth="1"/>
    <col min="15107" max="15107" width="13.75" style="3" customWidth="1"/>
    <col min="15108" max="15108" width="8" style="3" customWidth="1"/>
    <col min="15109" max="15109" width="5" style="3" customWidth="1"/>
    <col min="15110" max="15110" width="11.25" style="3" customWidth="1"/>
    <col min="15111" max="15111" width="13.75" style="3" customWidth="1"/>
    <col min="15112" max="15112" width="8" style="3" customWidth="1"/>
    <col min="15113" max="15113" width="5" style="3" customWidth="1"/>
    <col min="15114" max="15114" width="11.25" style="3" customWidth="1"/>
    <col min="15115" max="15115" width="7.75" style="3" customWidth="1"/>
    <col min="15116" max="15116" width="11.25" style="3" customWidth="1"/>
    <col min="15117" max="15118" width="9.375" style="3" customWidth="1"/>
    <col min="15119" max="15119" width="11.25" style="3" customWidth="1"/>
    <col min="15120" max="15360" width="9" style="3"/>
    <col min="15361" max="15361" width="6.5" style="3" customWidth="1"/>
    <col min="15362" max="15362" width="12.5" style="3" customWidth="1"/>
    <col min="15363" max="15363" width="13.75" style="3" customWidth="1"/>
    <col min="15364" max="15364" width="8" style="3" customWidth="1"/>
    <col min="15365" max="15365" width="5" style="3" customWidth="1"/>
    <col min="15366" max="15366" width="11.25" style="3" customWidth="1"/>
    <col min="15367" max="15367" width="13.75" style="3" customWidth="1"/>
    <col min="15368" max="15368" width="8" style="3" customWidth="1"/>
    <col min="15369" max="15369" width="5" style="3" customWidth="1"/>
    <col min="15370" max="15370" width="11.25" style="3" customWidth="1"/>
    <col min="15371" max="15371" width="7.75" style="3" customWidth="1"/>
    <col min="15372" max="15372" width="11.25" style="3" customWidth="1"/>
    <col min="15373" max="15374" width="9.375" style="3" customWidth="1"/>
    <col min="15375" max="15375" width="11.25" style="3" customWidth="1"/>
    <col min="15376" max="15616" width="9" style="3"/>
    <col min="15617" max="15617" width="6.5" style="3" customWidth="1"/>
    <col min="15618" max="15618" width="12.5" style="3" customWidth="1"/>
    <col min="15619" max="15619" width="13.75" style="3" customWidth="1"/>
    <col min="15620" max="15620" width="8" style="3" customWidth="1"/>
    <col min="15621" max="15621" width="5" style="3" customWidth="1"/>
    <col min="15622" max="15622" width="11.25" style="3" customWidth="1"/>
    <col min="15623" max="15623" width="13.75" style="3" customWidth="1"/>
    <col min="15624" max="15624" width="8" style="3" customWidth="1"/>
    <col min="15625" max="15625" width="5" style="3" customWidth="1"/>
    <col min="15626" max="15626" width="11.25" style="3" customWidth="1"/>
    <col min="15627" max="15627" width="7.75" style="3" customWidth="1"/>
    <col min="15628" max="15628" width="11.25" style="3" customWidth="1"/>
    <col min="15629" max="15630" width="9.375" style="3" customWidth="1"/>
    <col min="15631" max="15631" width="11.25" style="3" customWidth="1"/>
    <col min="15632" max="15872" width="9" style="3"/>
    <col min="15873" max="15873" width="6.5" style="3" customWidth="1"/>
    <col min="15874" max="15874" width="12.5" style="3" customWidth="1"/>
    <col min="15875" max="15875" width="13.75" style="3" customWidth="1"/>
    <col min="15876" max="15876" width="8" style="3" customWidth="1"/>
    <col min="15877" max="15877" width="5" style="3" customWidth="1"/>
    <col min="15878" max="15878" width="11.25" style="3" customWidth="1"/>
    <col min="15879" max="15879" width="13.75" style="3" customWidth="1"/>
    <col min="15880" max="15880" width="8" style="3" customWidth="1"/>
    <col min="15881" max="15881" width="5" style="3" customWidth="1"/>
    <col min="15882" max="15882" width="11.25" style="3" customWidth="1"/>
    <col min="15883" max="15883" width="7.75" style="3" customWidth="1"/>
    <col min="15884" max="15884" width="11.25" style="3" customWidth="1"/>
    <col min="15885" max="15886" width="9.375" style="3" customWidth="1"/>
    <col min="15887" max="15887" width="11.25" style="3" customWidth="1"/>
    <col min="15888" max="16128" width="9" style="3"/>
    <col min="16129" max="16129" width="6.5" style="3" customWidth="1"/>
    <col min="16130" max="16130" width="12.5" style="3" customWidth="1"/>
    <col min="16131" max="16131" width="13.75" style="3" customWidth="1"/>
    <col min="16132" max="16132" width="8" style="3" customWidth="1"/>
    <col min="16133" max="16133" width="5" style="3" customWidth="1"/>
    <col min="16134" max="16134" width="11.25" style="3" customWidth="1"/>
    <col min="16135" max="16135" width="13.75" style="3" customWidth="1"/>
    <col min="16136" max="16136" width="8" style="3" customWidth="1"/>
    <col min="16137" max="16137" width="5" style="3" customWidth="1"/>
    <col min="16138" max="16138" width="11.25" style="3" customWidth="1"/>
    <col min="16139" max="16139" width="7.75" style="3" customWidth="1"/>
    <col min="16140" max="16140" width="11.25" style="3" customWidth="1"/>
    <col min="16141" max="16142" width="9.375" style="3" customWidth="1"/>
    <col min="16143" max="16143" width="11.25" style="3" customWidth="1"/>
    <col min="16144" max="16384" width="9" style="3"/>
  </cols>
  <sheetData>
    <row r="1" spans="1:15" ht="18.75" x14ac:dyDescent="0.15">
      <c r="A1" s="380" t="s">
        <v>13</v>
      </c>
      <c r="B1" s="380"/>
      <c r="C1" s="380"/>
      <c r="D1" s="380"/>
      <c r="E1" s="380"/>
      <c r="F1" s="380"/>
      <c r="G1" s="380"/>
      <c r="H1" s="380"/>
      <c r="I1" s="380"/>
      <c r="J1" s="380"/>
      <c r="K1" s="380"/>
      <c r="L1" s="380"/>
      <c r="M1" s="380"/>
      <c r="N1" s="380"/>
      <c r="O1" s="380"/>
    </row>
    <row r="2" spans="1:15" ht="13.5" customHeight="1" x14ac:dyDescent="0.15">
      <c r="F2" s="11"/>
    </row>
    <row r="3" spans="1:15" x14ac:dyDescent="0.15">
      <c r="B3" s="12" t="s">
        <v>14</v>
      </c>
      <c r="C3" s="13"/>
    </row>
    <row r="4" spans="1:15" x14ac:dyDescent="0.15">
      <c r="B4" s="14" t="s">
        <v>15</v>
      </c>
      <c r="C4" s="15"/>
    </row>
    <row r="5" spans="1:15" x14ac:dyDescent="0.15">
      <c r="B5" s="12" t="s">
        <v>16</v>
      </c>
      <c r="C5" s="13"/>
    </row>
    <row r="6" spans="1:15" x14ac:dyDescent="0.15">
      <c r="A6" s="16"/>
      <c r="B6" s="16"/>
      <c r="C6" s="16"/>
      <c r="D6" s="16"/>
      <c r="E6" s="16"/>
      <c r="F6" s="16"/>
      <c r="G6" s="16"/>
      <c r="H6" s="16"/>
      <c r="I6" s="16"/>
      <c r="J6" s="16"/>
      <c r="K6" s="16"/>
      <c r="L6" s="16"/>
      <c r="M6" s="16"/>
      <c r="N6" s="16"/>
      <c r="O6" s="16"/>
    </row>
    <row r="7" spans="1:15" x14ac:dyDescent="0.15">
      <c r="A7" s="381" t="s">
        <v>17</v>
      </c>
      <c r="B7" s="381" t="s">
        <v>18</v>
      </c>
      <c r="C7" s="381" t="s">
        <v>19</v>
      </c>
      <c r="D7" s="381"/>
      <c r="E7" s="381"/>
      <c r="F7" s="381"/>
      <c r="G7" s="381" t="s">
        <v>20</v>
      </c>
      <c r="H7" s="381"/>
      <c r="I7" s="381"/>
      <c r="J7" s="381"/>
      <c r="K7" s="382" t="s">
        <v>21</v>
      </c>
      <c r="L7" s="383"/>
      <c r="M7" s="383"/>
      <c r="N7" s="383"/>
      <c r="O7" s="384"/>
    </row>
    <row r="8" spans="1:15" x14ac:dyDescent="0.15">
      <c r="A8" s="381"/>
      <c r="B8" s="381"/>
      <c r="C8" s="17" t="s">
        <v>22</v>
      </c>
      <c r="D8" s="17" t="s">
        <v>23</v>
      </c>
      <c r="E8" s="17" t="s">
        <v>24</v>
      </c>
      <c r="F8" s="17" t="s">
        <v>25</v>
      </c>
      <c r="G8" s="17" t="s">
        <v>22</v>
      </c>
      <c r="H8" s="17" t="s">
        <v>23</v>
      </c>
      <c r="I8" s="17" t="s">
        <v>24</v>
      </c>
      <c r="J8" s="17" t="s">
        <v>25</v>
      </c>
      <c r="K8" s="17" t="s">
        <v>26</v>
      </c>
      <c r="L8" s="17" t="s">
        <v>27</v>
      </c>
      <c r="M8" s="17" t="s">
        <v>28</v>
      </c>
      <c r="N8" s="17" t="s">
        <v>29</v>
      </c>
      <c r="O8" s="17" t="s">
        <v>30</v>
      </c>
    </row>
    <row r="9" spans="1:15" ht="3" customHeight="1" x14ac:dyDescent="0.15">
      <c r="A9" s="17"/>
      <c r="B9" s="17"/>
      <c r="C9" s="17"/>
      <c r="D9" s="17"/>
      <c r="E9" s="17"/>
      <c r="F9" s="17"/>
      <c r="G9" s="17"/>
      <c r="H9" s="17"/>
      <c r="I9" s="17"/>
      <c r="J9" s="17"/>
      <c r="K9" s="17"/>
      <c r="L9" s="17"/>
      <c r="M9" s="17"/>
      <c r="N9" s="17"/>
      <c r="O9" s="17"/>
    </row>
  </sheetData>
  <mergeCells count="6">
    <mergeCell ref="A1:O1"/>
    <mergeCell ref="A7:A8"/>
    <mergeCell ref="B7:B8"/>
    <mergeCell ref="C7:F7"/>
    <mergeCell ref="G7:J7"/>
    <mergeCell ref="K7:O7"/>
  </mergeCells>
  <phoneticPr fontId="3"/>
  <pageMargins left="0.43307086614173229" right="0.19685039370078741" top="0.9055118110236221" bottom="0.70866141732283472" header="0.59055118110236227" footer="0.51181102362204722"/>
  <pageSetup paperSize="9" orientation="landscape" horizontalDpi="4294967293" verticalDpi="1200" r:id="rId1"/>
  <headerFooter alignWithMargins="0">
    <oddHeader>&amp;C委託者別勘定元帳&amp;R&amp;D</oddHeader>
    <oddFooter>&amp;R&amp;P/&amp;N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4CA30-975F-4DC8-8E4A-EE4D629F2E8A}">
  <sheetPr codeName="Sheet3"/>
  <dimension ref="A1:O44"/>
  <sheetViews>
    <sheetView zoomScaleNormal="100" workbookViewId="0">
      <selection sqref="A1:A2"/>
    </sheetView>
  </sheetViews>
  <sheetFormatPr defaultRowHeight="13.5" x14ac:dyDescent="0.15"/>
  <cols>
    <col min="1" max="1" width="6.5" customWidth="1"/>
    <col min="2" max="2" width="12.5" customWidth="1"/>
    <col min="3" max="3" width="13.75" customWidth="1"/>
    <col min="4" max="4" width="8" customWidth="1"/>
    <col min="5" max="5" width="5" customWidth="1"/>
    <col min="6" max="6" width="11.25" customWidth="1"/>
    <col min="7" max="7" width="13.75" customWidth="1"/>
    <col min="8" max="8" width="8" customWidth="1"/>
    <col min="9" max="9" width="5" customWidth="1"/>
    <col min="10" max="10" width="11.25" customWidth="1"/>
    <col min="11" max="11" width="7.75" customWidth="1"/>
    <col min="12" max="12" width="11.25" customWidth="1"/>
    <col min="13" max="14" width="9.375" customWidth="1"/>
    <col min="15" max="15" width="11.25" customWidth="1"/>
    <col min="257" max="257" width="6.5" customWidth="1"/>
    <col min="258" max="258" width="12.5" customWidth="1"/>
    <col min="259" max="259" width="13.75" customWidth="1"/>
    <col min="260" max="260" width="8" customWidth="1"/>
    <col min="261" max="261" width="5" customWidth="1"/>
    <col min="262" max="262" width="11.25" customWidth="1"/>
    <col min="263" max="263" width="13.75" customWidth="1"/>
    <col min="264" max="264" width="8" customWidth="1"/>
    <col min="265" max="265" width="5" customWidth="1"/>
    <col min="266" max="266" width="11.25" customWidth="1"/>
    <col min="267" max="267" width="7.75" customWidth="1"/>
    <col min="268" max="268" width="11.25" customWidth="1"/>
    <col min="269" max="270" width="9.375" customWidth="1"/>
    <col min="271" max="271" width="11.25" customWidth="1"/>
    <col min="513" max="513" width="6.5" customWidth="1"/>
    <col min="514" max="514" width="12.5" customWidth="1"/>
    <col min="515" max="515" width="13.75" customWidth="1"/>
    <col min="516" max="516" width="8" customWidth="1"/>
    <col min="517" max="517" width="5" customWidth="1"/>
    <col min="518" max="518" width="11.25" customWidth="1"/>
    <col min="519" max="519" width="13.75" customWidth="1"/>
    <col min="520" max="520" width="8" customWidth="1"/>
    <col min="521" max="521" width="5" customWidth="1"/>
    <col min="522" max="522" width="11.25" customWidth="1"/>
    <col min="523" max="523" width="7.75" customWidth="1"/>
    <col min="524" max="524" width="11.25" customWidth="1"/>
    <col min="525" max="526" width="9.375" customWidth="1"/>
    <col min="527" max="527" width="11.25" customWidth="1"/>
    <col min="769" max="769" width="6.5" customWidth="1"/>
    <col min="770" max="770" width="12.5" customWidth="1"/>
    <col min="771" max="771" width="13.75" customWidth="1"/>
    <col min="772" max="772" width="8" customWidth="1"/>
    <col min="773" max="773" width="5" customWidth="1"/>
    <col min="774" max="774" width="11.25" customWidth="1"/>
    <col min="775" max="775" width="13.75" customWidth="1"/>
    <col min="776" max="776" width="8" customWidth="1"/>
    <col min="777" max="777" width="5" customWidth="1"/>
    <col min="778" max="778" width="11.25" customWidth="1"/>
    <col min="779" max="779" width="7.75" customWidth="1"/>
    <col min="780" max="780" width="11.25" customWidth="1"/>
    <col min="781" max="782" width="9.375" customWidth="1"/>
    <col min="783" max="783" width="11.25" customWidth="1"/>
    <col min="1025" max="1025" width="6.5" customWidth="1"/>
    <col min="1026" max="1026" width="12.5" customWidth="1"/>
    <col min="1027" max="1027" width="13.75" customWidth="1"/>
    <col min="1028" max="1028" width="8" customWidth="1"/>
    <col min="1029" max="1029" width="5" customWidth="1"/>
    <col min="1030" max="1030" width="11.25" customWidth="1"/>
    <col min="1031" max="1031" width="13.75" customWidth="1"/>
    <col min="1032" max="1032" width="8" customWidth="1"/>
    <col min="1033" max="1033" width="5" customWidth="1"/>
    <col min="1034" max="1034" width="11.25" customWidth="1"/>
    <col min="1035" max="1035" width="7.75" customWidth="1"/>
    <col min="1036" max="1036" width="11.25" customWidth="1"/>
    <col min="1037" max="1038" width="9.375" customWidth="1"/>
    <col min="1039" max="1039" width="11.25" customWidth="1"/>
    <col min="1281" max="1281" width="6.5" customWidth="1"/>
    <col min="1282" max="1282" width="12.5" customWidth="1"/>
    <col min="1283" max="1283" width="13.75" customWidth="1"/>
    <col min="1284" max="1284" width="8" customWidth="1"/>
    <col min="1285" max="1285" width="5" customWidth="1"/>
    <col min="1286" max="1286" width="11.25" customWidth="1"/>
    <col min="1287" max="1287" width="13.75" customWidth="1"/>
    <col min="1288" max="1288" width="8" customWidth="1"/>
    <col min="1289" max="1289" width="5" customWidth="1"/>
    <col min="1290" max="1290" width="11.25" customWidth="1"/>
    <col min="1291" max="1291" width="7.75" customWidth="1"/>
    <col min="1292" max="1292" width="11.25" customWidth="1"/>
    <col min="1293" max="1294" width="9.375" customWidth="1"/>
    <col min="1295" max="1295" width="11.25" customWidth="1"/>
    <col min="1537" max="1537" width="6.5" customWidth="1"/>
    <col min="1538" max="1538" width="12.5" customWidth="1"/>
    <col min="1539" max="1539" width="13.75" customWidth="1"/>
    <col min="1540" max="1540" width="8" customWidth="1"/>
    <col min="1541" max="1541" width="5" customWidth="1"/>
    <col min="1542" max="1542" width="11.25" customWidth="1"/>
    <col min="1543" max="1543" width="13.75" customWidth="1"/>
    <col min="1544" max="1544" width="8" customWidth="1"/>
    <col min="1545" max="1545" width="5" customWidth="1"/>
    <col min="1546" max="1546" width="11.25" customWidth="1"/>
    <col min="1547" max="1547" width="7.75" customWidth="1"/>
    <col min="1548" max="1548" width="11.25" customWidth="1"/>
    <col min="1549" max="1550" width="9.375" customWidth="1"/>
    <col min="1551" max="1551" width="11.25" customWidth="1"/>
    <col min="1793" max="1793" width="6.5" customWidth="1"/>
    <col min="1794" max="1794" width="12.5" customWidth="1"/>
    <col min="1795" max="1795" width="13.75" customWidth="1"/>
    <col min="1796" max="1796" width="8" customWidth="1"/>
    <col min="1797" max="1797" width="5" customWidth="1"/>
    <col min="1798" max="1798" width="11.25" customWidth="1"/>
    <col min="1799" max="1799" width="13.75" customWidth="1"/>
    <col min="1800" max="1800" width="8" customWidth="1"/>
    <col min="1801" max="1801" width="5" customWidth="1"/>
    <col min="1802" max="1802" width="11.25" customWidth="1"/>
    <col min="1803" max="1803" width="7.75" customWidth="1"/>
    <col min="1804" max="1804" width="11.25" customWidth="1"/>
    <col min="1805" max="1806" width="9.375" customWidth="1"/>
    <col min="1807" max="1807" width="11.25" customWidth="1"/>
    <col min="2049" max="2049" width="6.5" customWidth="1"/>
    <col min="2050" max="2050" width="12.5" customWidth="1"/>
    <col min="2051" max="2051" width="13.75" customWidth="1"/>
    <col min="2052" max="2052" width="8" customWidth="1"/>
    <col min="2053" max="2053" width="5" customWidth="1"/>
    <col min="2054" max="2054" width="11.25" customWidth="1"/>
    <col min="2055" max="2055" width="13.75" customWidth="1"/>
    <col min="2056" max="2056" width="8" customWidth="1"/>
    <col min="2057" max="2057" width="5" customWidth="1"/>
    <col min="2058" max="2058" width="11.25" customWidth="1"/>
    <col min="2059" max="2059" width="7.75" customWidth="1"/>
    <col min="2060" max="2060" width="11.25" customWidth="1"/>
    <col min="2061" max="2062" width="9.375" customWidth="1"/>
    <col min="2063" max="2063" width="11.25" customWidth="1"/>
    <col min="2305" max="2305" width="6.5" customWidth="1"/>
    <col min="2306" max="2306" width="12.5" customWidth="1"/>
    <col min="2307" max="2307" width="13.75" customWidth="1"/>
    <col min="2308" max="2308" width="8" customWidth="1"/>
    <col min="2309" max="2309" width="5" customWidth="1"/>
    <col min="2310" max="2310" width="11.25" customWidth="1"/>
    <col min="2311" max="2311" width="13.75" customWidth="1"/>
    <col min="2312" max="2312" width="8" customWidth="1"/>
    <col min="2313" max="2313" width="5" customWidth="1"/>
    <col min="2314" max="2314" width="11.25" customWidth="1"/>
    <col min="2315" max="2315" width="7.75" customWidth="1"/>
    <col min="2316" max="2316" width="11.25" customWidth="1"/>
    <col min="2317" max="2318" width="9.375" customWidth="1"/>
    <col min="2319" max="2319" width="11.25" customWidth="1"/>
    <col min="2561" max="2561" width="6.5" customWidth="1"/>
    <col min="2562" max="2562" width="12.5" customWidth="1"/>
    <col min="2563" max="2563" width="13.75" customWidth="1"/>
    <col min="2564" max="2564" width="8" customWidth="1"/>
    <col min="2565" max="2565" width="5" customWidth="1"/>
    <col min="2566" max="2566" width="11.25" customWidth="1"/>
    <col min="2567" max="2567" width="13.75" customWidth="1"/>
    <col min="2568" max="2568" width="8" customWidth="1"/>
    <col min="2569" max="2569" width="5" customWidth="1"/>
    <col min="2570" max="2570" width="11.25" customWidth="1"/>
    <col min="2571" max="2571" width="7.75" customWidth="1"/>
    <col min="2572" max="2572" width="11.25" customWidth="1"/>
    <col min="2573" max="2574" width="9.375" customWidth="1"/>
    <col min="2575" max="2575" width="11.25" customWidth="1"/>
    <col min="2817" max="2817" width="6.5" customWidth="1"/>
    <col min="2818" max="2818" width="12.5" customWidth="1"/>
    <col min="2819" max="2819" width="13.75" customWidth="1"/>
    <col min="2820" max="2820" width="8" customWidth="1"/>
    <col min="2821" max="2821" width="5" customWidth="1"/>
    <col min="2822" max="2822" width="11.25" customWidth="1"/>
    <col min="2823" max="2823" width="13.75" customWidth="1"/>
    <col min="2824" max="2824" width="8" customWidth="1"/>
    <col min="2825" max="2825" width="5" customWidth="1"/>
    <col min="2826" max="2826" width="11.25" customWidth="1"/>
    <col min="2827" max="2827" width="7.75" customWidth="1"/>
    <col min="2828" max="2828" width="11.25" customWidth="1"/>
    <col min="2829" max="2830" width="9.375" customWidth="1"/>
    <col min="2831" max="2831" width="11.25" customWidth="1"/>
    <col min="3073" max="3073" width="6.5" customWidth="1"/>
    <col min="3074" max="3074" width="12.5" customWidth="1"/>
    <col min="3075" max="3075" width="13.75" customWidth="1"/>
    <col min="3076" max="3076" width="8" customWidth="1"/>
    <col min="3077" max="3077" width="5" customWidth="1"/>
    <col min="3078" max="3078" width="11.25" customWidth="1"/>
    <col min="3079" max="3079" width="13.75" customWidth="1"/>
    <col min="3080" max="3080" width="8" customWidth="1"/>
    <col min="3081" max="3081" width="5" customWidth="1"/>
    <col min="3082" max="3082" width="11.25" customWidth="1"/>
    <col min="3083" max="3083" width="7.75" customWidth="1"/>
    <col min="3084" max="3084" width="11.25" customWidth="1"/>
    <col min="3085" max="3086" width="9.375" customWidth="1"/>
    <col min="3087" max="3087" width="11.25" customWidth="1"/>
    <col min="3329" max="3329" width="6.5" customWidth="1"/>
    <col min="3330" max="3330" width="12.5" customWidth="1"/>
    <col min="3331" max="3331" width="13.75" customWidth="1"/>
    <col min="3332" max="3332" width="8" customWidth="1"/>
    <col min="3333" max="3333" width="5" customWidth="1"/>
    <col min="3334" max="3334" width="11.25" customWidth="1"/>
    <col min="3335" max="3335" width="13.75" customWidth="1"/>
    <col min="3336" max="3336" width="8" customWidth="1"/>
    <col min="3337" max="3337" width="5" customWidth="1"/>
    <col min="3338" max="3338" width="11.25" customWidth="1"/>
    <col min="3339" max="3339" width="7.75" customWidth="1"/>
    <col min="3340" max="3340" width="11.25" customWidth="1"/>
    <col min="3341" max="3342" width="9.375" customWidth="1"/>
    <col min="3343" max="3343" width="11.25" customWidth="1"/>
    <col min="3585" max="3585" width="6.5" customWidth="1"/>
    <col min="3586" max="3586" width="12.5" customWidth="1"/>
    <col min="3587" max="3587" width="13.75" customWidth="1"/>
    <col min="3588" max="3588" width="8" customWidth="1"/>
    <col min="3589" max="3589" width="5" customWidth="1"/>
    <col min="3590" max="3590" width="11.25" customWidth="1"/>
    <col min="3591" max="3591" width="13.75" customWidth="1"/>
    <col min="3592" max="3592" width="8" customWidth="1"/>
    <col min="3593" max="3593" width="5" customWidth="1"/>
    <col min="3594" max="3594" width="11.25" customWidth="1"/>
    <col min="3595" max="3595" width="7.75" customWidth="1"/>
    <col min="3596" max="3596" width="11.25" customWidth="1"/>
    <col min="3597" max="3598" width="9.375" customWidth="1"/>
    <col min="3599" max="3599" width="11.25" customWidth="1"/>
    <col min="3841" max="3841" width="6.5" customWidth="1"/>
    <col min="3842" max="3842" width="12.5" customWidth="1"/>
    <col min="3843" max="3843" width="13.75" customWidth="1"/>
    <col min="3844" max="3844" width="8" customWidth="1"/>
    <col min="3845" max="3845" width="5" customWidth="1"/>
    <col min="3846" max="3846" width="11.25" customWidth="1"/>
    <col min="3847" max="3847" width="13.75" customWidth="1"/>
    <col min="3848" max="3848" width="8" customWidth="1"/>
    <col min="3849" max="3849" width="5" customWidth="1"/>
    <col min="3850" max="3850" width="11.25" customWidth="1"/>
    <col min="3851" max="3851" width="7.75" customWidth="1"/>
    <col min="3852" max="3852" width="11.25" customWidth="1"/>
    <col min="3853" max="3854" width="9.375" customWidth="1"/>
    <col min="3855" max="3855" width="11.25" customWidth="1"/>
    <col min="4097" max="4097" width="6.5" customWidth="1"/>
    <col min="4098" max="4098" width="12.5" customWidth="1"/>
    <col min="4099" max="4099" width="13.75" customWidth="1"/>
    <col min="4100" max="4100" width="8" customWidth="1"/>
    <col min="4101" max="4101" width="5" customWidth="1"/>
    <col min="4102" max="4102" width="11.25" customWidth="1"/>
    <col min="4103" max="4103" width="13.75" customWidth="1"/>
    <col min="4104" max="4104" width="8" customWidth="1"/>
    <col min="4105" max="4105" width="5" customWidth="1"/>
    <col min="4106" max="4106" width="11.25" customWidth="1"/>
    <col min="4107" max="4107" width="7.75" customWidth="1"/>
    <col min="4108" max="4108" width="11.25" customWidth="1"/>
    <col min="4109" max="4110" width="9.375" customWidth="1"/>
    <col min="4111" max="4111" width="11.25" customWidth="1"/>
    <col min="4353" max="4353" width="6.5" customWidth="1"/>
    <col min="4354" max="4354" width="12.5" customWidth="1"/>
    <col min="4355" max="4355" width="13.75" customWidth="1"/>
    <col min="4356" max="4356" width="8" customWidth="1"/>
    <col min="4357" max="4357" width="5" customWidth="1"/>
    <col min="4358" max="4358" width="11.25" customWidth="1"/>
    <col min="4359" max="4359" width="13.75" customWidth="1"/>
    <col min="4360" max="4360" width="8" customWidth="1"/>
    <col min="4361" max="4361" width="5" customWidth="1"/>
    <col min="4362" max="4362" width="11.25" customWidth="1"/>
    <col min="4363" max="4363" width="7.75" customWidth="1"/>
    <col min="4364" max="4364" width="11.25" customWidth="1"/>
    <col min="4365" max="4366" width="9.375" customWidth="1"/>
    <col min="4367" max="4367" width="11.25" customWidth="1"/>
    <col min="4609" max="4609" width="6.5" customWidth="1"/>
    <col min="4610" max="4610" width="12.5" customWidth="1"/>
    <col min="4611" max="4611" width="13.75" customWidth="1"/>
    <col min="4612" max="4612" width="8" customWidth="1"/>
    <col min="4613" max="4613" width="5" customWidth="1"/>
    <col min="4614" max="4614" width="11.25" customWidth="1"/>
    <col min="4615" max="4615" width="13.75" customWidth="1"/>
    <col min="4616" max="4616" width="8" customWidth="1"/>
    <col min="4617" max="4617" width="5" customWidth="1"/>
    <col min="4618" max="4618" width="11.25" customWidth="1"/>
    <col min="4619" max="4619" width="7.75" customWidth="1"/>
    <col min="4620" max="4620" width="11.25" customWidth="1"/>
    <col min="4621" max="4622" width="9.375" customWidth="1"/>
    <col min="4623" max="4623" width="11.25" customWidth="1"/>
    <col min="4865" max="4865" width="6.5" customWidth="1"/>
    <col min="4866" max="4866" width="12.5" customWidth="1"/>
    <col min="4867" max="4867" width="13.75" customWidth="1"/>
    <col min="4868" max="4868" width="8" customWidth="1"/>
    <col min="4869" max="4869" width="5" customWidth="1"/>
    <col min="4870" max="4870" width="11.25" customWidth="1"/>
    <col min="4871" max="4871" width="13.75" customWidth="1"/>
    <col min="4872" max="4872" width="8" customWidth="1"/>
    <col min="4873" max="4873" width="5" customWidth="1"/>
    <col min="4874" max="4874" width="11.25" customWidth="1"/>
    <col min="4875" max="4875" width="7.75" customWidth="1"/>
    <col min="4876" max="4876" width="11.25" customWidth="1"/>
    <col min="4877" max="4878" width="9.375" customWidth="1"/>
    <col min="4879" max="4879" width="11.25" customWidth="1"/>
    <col min="5121" max="5121" width="6.5" customWidth="1"/>
    <col min="5122" max="5122" width="12.5" customWidth="1"/>
    <col min="5123" max="5123" width="13.75" customWidth="1"/>
    <col min="5124" max="5124" width="8" customWidth="1"/>
    <col min="5125" max="5125" width="5" customWidth="1"/>
    <col min="5126" max="5126" width="11.25" customWidth="1"/>
    <col min="5127" max="5127" width="13.75" customWidth="1"/>
    <col min="5128" max="5128" width="8" customWidth="1"/>
    <col min="5129" max="5129" width="5" customWidth="1"/>
    <col min="5130" max="5130" width="11.25" customWidth="1"/>
    <col min="5131" max="5131" width="7.75" customWidth="1"/>
    <col min="5132" max="5132" width="11.25" customWidth="1"/>
    <col min="5133" max="5134" width="9.375" customWidth="1"/>
    <col min="5135" max="5135" width="11.25" customWidth="1"/>
    <col min="5377" max="5377" width="6.5" customWidth="1"/>
    <col min="5378" max="5378" width="12.5" customWidth="1"/>
    <col min="5379" max="5379" width="13.75" customWidth="1"/>
    <col min="5380" max="5380" width="8" customWidth="1"/>
    <col min="5381" max="5381" width="5" customWidth="1"/>
    <col min="5382" max="5382" width="11.25" customWidth="1"/>
    <col min="5383" max="5383" width="13.75" customWidth="1"/>
    <col min="5384" max="5384" width="8" customWidth="1"/>
    <col min="5385" max="5385" width="5" customWidth="1"/>
    <col min="5386" max="5386" width="11.25" customWidth="1"/>
    <col min="5387" max="5387" width="7.75" customWidth="1"/>
    <col min="5388" max="5388" width="11.25" customWidth="1"/>
    <col min="5389" max="5390" width="9.375" customWidth="1"/>
    <col min="5391" max="5391" width="11.25" customWidth="1"/>
    <col min="5633" max="5633" width="6.5" customWidth="1"/>
    <col min="5634" max="5634" width="12.5" customWidth="1"/>
    <col min="5635" max="5635" width="13.75" customWidth="1"/>
    <col min="5636" max="5636" width="8" customWidth="1"/>
    <col min="5637" max="5637" width="5" customWidth="1"/>
    <col min="5638" max="5638" width="11.25" customWidth="1"/>
    <col min="5639" max="5639" width="13.75" customWidth="1"/>
    <col min="5640" max="5640" width="8" customWidth="1"/>
    <col min="5641" max="5641" width="5" customWidth="1"/>
    <col min="5642" max="5642" width="11.25" customWidth="1"/>
    <col min="5643" max="5643" width="7.75" customWidth="1"/>
    <col min="5644" max="5644" width="11.25" customWidth="1"/>
    <col min="5645" max="5646" width="9.375" customWidth="1"/>
    <col min="5647" max="5647" width="11.25" customWidth="1"/>
    <col min="5889" max="5889" width="6.5" customWidth="1"/>
    <col min="5890" max="5890" width="12.5" customWidth="1"/>
    <col min="5891" max="5891" width="13.75" customWidth="1"/>
    <col min="5892" max="5892" width="8" customWidth="1"/>
    <col min="5893" max="5893" width="5" customWidth="1"/>
    <col min="5894" max="5894" width="11.25" customWidth="1"/>
    <col min="5895" max="5895" width="13.75" customWidth="1"/>
    <col min="5896" max="5896" width="8" customWidth="1"/>
    <col min="5897" max="5897" width="5" customWidth="1"/>
    <col min="5898" max="5898" width="11.25" customWidth="1"/>
    <col min="5899" max="5899" width="7.75" customWidth="1"/>
    <col min="5900" max="5900" width="11.25" customWidth="1"/>
    <col min="5901" max="5902" width="9.375" customWidth="1"/>
    <col min="5903" max="5903" width="11.25" customWidth="1"/>
    <col min="6145" max="6145" width="6.5" customWidth="1"/>
    <col min="6146" max="6146" width="12.5" customWidth="1"/>
    <col min="6147" max="6147" width="13.75" customWidth="1"/>
    <col min="6148" max="6148" width="8" customWidth="1"/>
    <col min="6149" max="6149" width="5" customWidth="1"/>
    <col min="6150" max="6150" width="11.25" customWidth="1"/>
    <col min="6151" max="6151" width="13.75" customWidth="1"/>
    <col min="6152" max="6152" width="8" customWidth="1"/>
    <col min="6153" max="6153" width="5" customWidth="1"/>
    <col min="6154" max="6154" width="11.25" customWidth="1"/>
    <col min="6155" max="6155" width="7.75" customWidth="1"/>
    <col min="6156" max="6156" width="11.25" customWidth="1"/>
    <col min="6157" max="6158" width="9.375" customWidth="1"/>
    <col min="6159" max="6159" width="11.25" customWidth="1"/>
    <col min="6401" max="6401" width="6.5" customWidth="1"/>
    <col min="6402" max="6402" width="12.5" customWidth="1"/>
    <col min="6403" max="6403" width="13.75" customWidth="1"/>
    <col min="6404" max="6404" width="8" customWidth="1"/>
    <col min="6405" max="6405" width="5" customWidth="1"/>
    <col min="6406" max="6406" width="11.25" customWidth="1"/>
    <col min="6407" max="6407" width="13.75" customWidth="1"/>
    <col min="6408" max="6408" width="8" customWidth="1"/>
    <col min="6409" max="6409" width="5" customWidth="1"/>
    <col min="6410" max="6410" width="11.25" customWidth="1"/>
    <col min="6411" max="6411" width="7.75" customWidth="1"/>
    <col min="6412" max="6412" width="11.25" customWidth="1"/>
    <col min="6413" max="6414" width="9.375" customWidth="1"/>
    <col min="6415" max="6415" width="11.25" customWidth="1"/>
    <col min="6657" max="6657" width="6.5" customWidth="1"/>
    <col min="6658" max="6658" width="12.5" customWidth="1"/>
    <col min="6659" max="6659" width="13.75" customWidth="1"/>
    <col min="6660" max="6660" width="8" customWidth="1"/>
    <col min="6661" max="6661" width="5" customWidth="1"/>
    <col min="6662" max="6662" width="11.25" customWidth="1"/>
    <col min="6663" max="6663" width="13.75" customWidth="1"/>
    <col min="6664" max="6664" width="8" customWidth="1"/>
    <col min="6665" max="6665" width="5" customWidth="1"/>
    <col min="6666" max="6666" width="11.25" customWidth="1"/>
    <col min="6667" max="6667" width="7.75" customWidth="1"/>
    <col min="6668" max="6668" width="11.25" customWidth="1"/>
    <col min="6669" max="6670" width="9.375" customWidth="1"/>
    <col min="6671" max="6671" width="11.25" customWidth="1"/>
    <col min="6913" max="6913" width="6.5" customWidth="1"/>
    <col min="6914" max="6914" width="12.5" customWidth="1"/>
    <col min="6915" max="6915" width="13.75" customWidth="1"/>
    <col min="6916" max="6916" width="8" customWidth="1"/>
    <col min="6917" max="6917" width="5" customWidth="1"/>
    <col min="6918" max="6918" width="11.25" customWidth="1"/>
    <col min="6919" max="6919" width="13.75" customWidth="1"/>
    <col min="6920" max="6920" width="8" customWidth="1"/>
    <col min="6921" max="6921" width="5" customWidth="1"/>
    <col min="6922" max="6922" width="11.25" customWidth="1"/>
    <col min="6923" max="6923" width="7.75" customWidth="1"/>
    <col min="6924" max="6924" width="11.25" customWidth="1"/>
    <col min="6925" max="6926" width="9.375" customWidth="1"/>
    <col min="6927" max="6927" width="11.25" customWidth="1"/>
    <col min="7169" max="7169" width="6.5" customWidth="1"/>
    <col min="7170" max="7170" width="12.5" customWidth="1"/>
    <col min="7171" max="7171" width="13.75" customWidth="1"/>
    <col min="7172" max="7172" width="8" customWidth="1"/>
    <col min="7173" max="7173" width="5" customWidth="1"/>
    <col min="7174" max="7174" width="11.25" customWidth="1"/>
    <col min="7175" max="7175" width="13.75" customWidth="1"/>
    <col min="7176" max="7176" width="8" customWidth="1"/>
    <col min="7177" max="7177" width="5" customWidth="1"/>
    <col min="7178" max="7178" width="11.25" customWidth="1"/>
    <col min="7179" max="7179" width="7.75" customWidth="1"/>
    <col min="7180" max="7180" width="11.25" customWidth="1"/>
    <col min="7181" max="7182" width="9.375" customWidth="1"/>
    <col min="7183" max="7183" width="11.25" customWidth="1"/>
    <col min="7425" max="7425" width="6.5" customWidth="1"/>
    <col min="7426" max="7426" width="12.5" customWidth="1"/>
    <col min="7427" max="7427" width="13.75" customWidth="1"/>
    <col min="7428" max="7428" width="8" customWidth="1"/>
    <col min="7429" max="7429" width="5" customWidth="1"/>
    <col min="7430" max="7430" width="11.25" customWidth="1"/>
    <col min="7431" max="7431" width="13.75" customWidth="1"/>
    <col min="7432" max="7432" width="8" customWidth="1"/>
    <col min="7433" max="7433" width="5" customWidth="1"/>
    <col min="7434" max="7434" width="11.25" customWidth="1"/>
    <col min="7435" max="7435" width="7.75" customWidth="1"/>
    <col min="7436" max="7436" width="11.25" customWidth="1"/>
    <col min="7437" max="7438" width="9.375" customWidth="1"/>
    <col min="7439" max="7439" width="11.25" customWidth="1"/>
    <col min="7681" max="7681" width="6.5" customWidth="1"/>
    <col min="7682" max="7682" width="12.5" customWidth="1"/>
    <col min="7683" max="7683" width="13.75" customWidth="1"/>
    <col min="7684" max="7684" width="8" customWidth="1"/>
    <col min="7685" max="7685" width="5" customWidth="1"/>
    <col min="7686" max="7686" width="11.25" customWidth="1"/>
    <col min="7687" max="7687" width="13.75" customWidth="1"/>
    <col min="7688" max="7688" width="8" customWidth="1"/>
    <col min="7689" max="7689" width="5" customWidth="1"/>
    <col min="7690" max="7690" width="11.25" customWidth="1"/>
    <col min="7691" max="7691" width="7.75" customWidth="1"/>
    <col min="7692" max="7692" width="11.25" customWidth="1"/>
    <col min="7693" max="7694" width="9.375" customWidth="1"/>
    <col min="7695" max="7695" width="11.25" customWidth="1"/>
    <col min="7937" max="7937" width="6.5" customWidth="1"/>
    <col min="7938" max="7938" width="12.5" customWidth="1"/>
    <col min="7939" max="7939" width="13.75" customWidth="1"/>
    <col min="7940" max="7940" width="8" customWidth="1"/>
    <col min="7941" max="7941" width="5" customWidth="1"/>
    <col min="7942" max="7942" width="11.25" customWidth="1"/>
    <col min="7943" max="7943" width="13.75" customWidth="1"/>
    <col min="7944" max="7944" width="8" customWidth="1"/>
    <col min="7945" max="7945" width="5" customWidth="1"/>
    <col min="7946" max="7946" width="11.25" customWidth="1"/>
    <col min="7947" max="7947" width="7.75" customWidth="1"/>
    <col min="7948" max="7948" width="11.25" customWidth="1"/>
    <col min="7949" max="7950" width="9.375" customWidth="1"/>
    <col min="7951" max="7951" width="11.25" customWidth="1"/>
    <col min="8193" max="8193" width="6.5" customWidth="1"/>
    <col min="8194" max="8194" width="12.5" customWidth="1"/>
    <col min="8195" max="8195" width="13.75" customWidth="1"/>
    <col min="8196" max="8196" width="8" customWidth="1"/>
    <col min="8197" max="8197" width="5" customWidth="1"/>
    <col min="8198" max="8198" width="11.25" customWidth="1"/>
    <col min="8199" max="8199" width="13.75" customWidth="1"/>
    <col min="8200" max="8200" width="8" customWidth="1"/>
    <col min="8201" max="8201" width="5" customWidth="1"/>
    <col min="8202" max="8202" width="11.25" customWidth="1"/>
    <col min="8203" max="8203" width="7.75" customWidth="1"/>
    <col min="8204" max="8204" width="11.25" customWidth="1"/>
    <col min="8205" max="8206" width="9.375" customWidth="1"/>
    <col min="8207" max="8207" width="11.25" customWidth="1"/>
    <col min="8449" max="8449" width="6.5" customWidth="1"/>
    <col min="8450" max="8450" width="12.5" customWidth="1"/>
    <col min="8451" max="8451" width="13.75" customWidth="1"/>
    <col min="8452" max="8452" width="8" customWidth="1"/>
    <col min="8453" max="8453" width="5" customWidth="1"/>
    <col min="8454" max="8454" width="11.25" customWidth="1"/>
    <col min="8455" max="8455" width="13.75" customWidth="1"/>
    <col min="8456" max="8456" width="8" customWidth="1"/>
    <col min="8457" max="8457" width="5" customWidth="1"/>
    <col min="8458" max="8458" width="11.25" customWidth="1"/>
    <col min="8459" max="8459" width="7.75" customWidth="1"/>
    <col min="8460" max="8460" width="11.25" customWidth="1"/>
    <col min="8461" max="8462" width="9.375" customWidth="1"/>
    <col min="8463" max="8463" width="11.25" customWidth="1"/>
    <col min="8705" max="8705" width="6.5" customWidth="1"/>
    <col min="8706" max="8706" width="12.5" customWidth="1"/>
    <col min="8707" max="8707" width="13.75" customWidth="1"/>
    <col min="8708" max="8708" width="8" customWidth="1"/>
    <col min="8709" max="8709" width="5" customWidth="1"/>
    <col min="8710" max="8710" width="11.25" customWidth="1"/>
    <col min="8711" max="8711" width="13.75" customWidth="1"/>
    <col min="8712" max="8712" width="8" customWidth="1"/>
    <col min="8713" max="8713" width="5" customWidth="1"/>
    <col min="8714" max="8714" width="11.25" customWidth="1"/>
    <col min="8715" max="8715" width="7.75" customWidth="1"/>
    <col min="8716" max="8716" width="11.25" customWidth="1"/>
    <col min="8717" max="8718" width="9.375" customWidth="1"/>
    <col min="8719" max="8719" width="11.25" customWidth="1"/>
    <col min="8961" max="8961" width="6.5" customWidth="1"/>
    <col min="8962" max="8962" width="12.5" customWidth="1"/>
    <col min="8963" max="8963" width="13.75" customWidth="1"/>
    <col min="8964" max="8964" width="8" customWidth="1"/>
    <col min="8965" max="8965" width="5" customWidth="1"/>
    <col min="8966" max="8966" width="11.25" customWidth="1"/>
    <col min="8967" max="8967" width="13.75" customWidth="1"/>
    <col min="8968" max="8968" width="8" customWidth="1"/>
    <col min="8969" max="8969" width="5" customWidth="1"/>
    <col min="8970" max="8970" width="11.25" customWidth="1"/>
    <col min="8971" max="8971" width="7.75" customWidth="1"/>
    <col min="8972" max="8972" width="11.25" customWidth="1"/>
    <col min="8973" max="8974" width="9.375" customWidth="1"/>
    <col min="8975" max="8975" width="11.25" customWidth="1"/>
    <col min="9217" max="9217" width="6.5" customWidth="1"/>
    <col min="9218" max="9218" width="12.5" customWidth="1"/>
    <col min="9219" max="9219" width="13.75" customWidth="1"/>
    <col min="9220" max="9220" width="8" customWidth="1"/>
    <col min="9221" max="9221" width="5" customWidth="1"/>
    <col min="9222" max="9222" width="11.25" customWidth="1"/>
    <col min="9223" max="9223" width="13.75" customWidth="1"/>
    <col min="9224" max="9224" width="8" customWidth="1"/>
    <col min="9225" max="9225" width="5" customWidth="1"/>
    <col min="9226" max="9226" width="11.25" customWidth="1"/>
    <col min="9227" max="9227" width="7.75" customWidth="1"/>
    <col min="9228" max="9228" width="11.25" customWidth="1"/>
    <col min="9229" max="9230" width="9.375" customWidth="1"/>
    <col min="9231" max="9231" width="11.25" customWidth="1"/>
    <col min="9473" max="9473" width="6.5" customWidth="1"/>
    <col min="9474" max="9474" width="12.5" customWidth="1"/>
    <col min="9475" max="9475" width="13.75" customWidth="1"/>
    <col min="9476" max="9476" width="8" customWidth="1"/>
    <col min="9477" max="9477" width="5" customWidth="1"/>
    <col min="9478" max="9478" width="11.25" customWidth="1"/>
    <col min="9479" max="9479" width="13.75" customWidth="1"/>
    <col min="9480" max="9480" width="8" customWidth="1"/>
    <col min="9481" max="9481" width="5" customWidth="1"/>
    <col min="9482" max="9482" width="11.25" customWidth="1"/>
    <col min="9483" max="9483" width="7.75" customWidth="1"/>
    <col min="9484" max="9484" width="11.25" customWidth="1"/>
    <col min="9485" max="9486" width="9.375" customWidth="1"/>
    <col min="9487" max="9487" width="11.25" customWidth="1"/>
    <col min="9729" max="9729" width="6.5" customWidth="1"/>
    <col min="9730" max="9730" width="12.5" customWidth="1"/>
    <col min="9731" max="9731" width="13.75" customWidth="1"/>
    <col min="9732" max="9732" width="8" customWidth="1"/>
    <col min="9733" max="9733" width="5" customWidth="1"/>
    <col min="9734" max="9734" width="11.25" customWidth="1"/>
    <col min="9735" max="9735" width="13.75" customWidth="1"/>
    <col min="9736" max="9736" width="8" customWidth="1"/>
    <col min="9737" max="9737" width="5" customWidth="1"/>
    <col min="9738" max="9738" width="11.25" customWidth="1"/>
    <col min="9739" max="9739" width="7.75" customWidth="1"/>
    <col min="9740" max="9740" width="11.25" customWidth="1"/>
    <col min="9741" max="9742" width="9.375" customWidth="1"/>
    <col min="9743" max="9743" width="11.25" customWidth="1"/>
    <col min="9985" max="9985" width="6.5" customWidth="1"/>
    <col min="9986" max="9986" width="12.5" customWidth="1"/>
    <col min="9987" max="9987" width="13.75" customWidth="1"/>
    <col min="9988" max="9988" width="8" customWidth="1"/>
    <col min="9989" max="9989" width="5" customWidth="1"/>
    <col min="9990" max="9990" width="11.25" customWidth="1"/>
    <col min="9991" max="9991" width="13.75" customWidth="1"/>
    <col min="9992" max="9992" width="8" customWidth="1"/>
    <col min="9993" max="9993" width="5" customWidth="1"/>
    <col min="9994" max="9994" width="11.25" customWidth="1"/>
    <col min="9995" max="9995" width="7.75" customWidth="1"/>
    <col min="9996" max="9996" width="11.25" customWidth="1"/>
    <col min="9997" max="9998" width="9.375" customWidth="1"/>
    <col min="9999" max="9999" width="11.25" customWidth="1"/>
    <col min="10241" max="10241" width="6.5" customWidth="1"/>
    <col min="10242" max="10242" width="12.5" customWidth="1"/>
    <col min="10243" max="10243" width="13.75" customWidth="1"/>
    <col min="10244" max="10244" width="8" customWidth="1"/>
    <col min="10245" max="10245" width="5" customWidth="1"/>
    <col min="10246" max="10246" width="11.25" customWidth="1"/>
    <col min="10247" max="10247" width="13.75" customWidth="1"/>
    <col min="10248" max="10248" width="8" customWidth="1"/>
    <col min="10249" max="10249" width="5" customWidth="1"/>
    <col min="10250" max="10250" width="11.25" customWidth="1"/>
    <col min="10251" max="10251" width="7.75" customWidth="1"/>
    <col min="10252" max="10252" width="11.25" customWidth="1"/>
    <col min="10253" max="10254" width="9.375" customWidth="1"/>
    <col min="10255" max="10255" width="11.25" customWidth="1"/>
    <col min="10497" max="10497" width="6.5" customWidth="1"/>
    <col min="10498" max="10498" width="12.5" customWidth="1"/>
    <col min="10499" max="10499" width="13.75" customWidth="1"/>
    <col min="10500" max="10500" width="8" customWidth="1"/>
    <col min="10501" max="10501" width="5" customWidth="1"/>
    <col min="10502" max="10502" width="11.25" customWidth="1"/>
    <col min="10503" max="10503" width="13.75" customWidth="1"/>
    <col min="10504" max="10504" width="8" customWidth="1"/>
    <col min="10505" max="10505" width="5" customWidth="1"/>
    <col min="10506" max="10506" width="11.25" customWidth="1"/>
    <col min="10507" max="10507" width="7.75" customWidth="1"/>
    <col min="10508" max="10508" width="11.25" customWidth="1"/>
    <col min="10509" max="10510" width="9.375" customWidth="1"/>
    <col min="10511" max="10511" width="11.25" customWidth="1"/>
    <col min="10753" max="10753" width="6.5" customWidth="1"/>
    <col min="10754" max="10754" width="12.5" customWidth="1"/>
    <col min="10755" max="10755" width="13.75" customWidth="1"/>
    <col min="10756" max="10756" width="8" customWidth="1"/>
    <col min="10757" max="10757" width="5" customWidth="1"/>
    <col min="10758" max="10758" width="11.25" customWidth="1"/>
    <col min="10759" max="10759" width="13.75" customWidth="1"/>
    <col min="10760" max="10760" width="8" customWidth="1"/>
    <col min="10761" max="10761" width="5" customWidth="1"/>
    <col min="10762" max="10762" width="11.25" customWidth="1"/>
    <col min="10763" max="10763" width="7.75" customWidth="1"/>
    <col min="10764" max="10764" width="11.25" customWidth="1"/>
    <col min="10765" max="10766" width="9.375" customWidth="1"/>
    <col min="10767" max="10767" width="11.25" customWidth="1"/>
    <col min="11009" max="11009" width="6.5" customWidth="1"/>
    <col min="11010" max="11010" width="12.5" customWidth="1"/>
    <col min="11011" max="11011" width="13.75" customWidth="1"/>
    <col min="11012" max="11012" width="8" customWidth="1"/>
    <col min="11013" max="11013" width="5" customWidth="1"/>
    <col min="11014" max="11014" width="11.25" customWidth="1"/>
    <col min="11015" max="11015" width="13.75" customWidth="1"/>
    <col min="11016" max="11016" width="8" customWidth="1"/>
    <col min="11017" max="11017" width="5" customWidth="1"/>
    <col min="11018" max="11018" width="11.25" customWidth="1"/>
    <col min="11019" max="11019" width="7.75" customWidth="1"/>
    <col min="11020" max="11020" width="11.25" customWidth="1"/>
    <col min="11021" max="11022" width="9.375" customWidth="1"/>
    <col min="11023" max="11023" width="11.25" customWidth="1"/>
    <col min="11265" max="11265" width="6.5" customWidth="1"/>
    <col min="11266" max="11266" width="12.5" customWidth="1"/>
    <col min="11267" max="11267" width="13.75" customWidth="1"/>
    <col min="11268" max="11268" width="8" customWidth="1"/>
    <col min="11269" max="11269" width="5" customWidth="1"/>
    <col min="11270" max="11270" width="11.25" customWidth="1"/>
    <col min="11271" max="11271" width="13.75" customWidth="1"/>
    <col min="11272" max="11272" width="8" customWidth="1"/>
    <col min="11273" max="11273" width="5" customWidth="1"/>
    <col min="11274" max="11274" width="11.25" customWidth="1"/>
    <col min="11275" max="11275" width="7.75" customWidth="1"/>
    <col min="11276" max="11276" width="11.25" customWidth="1"/>
    <col min="11277" max="11278" width="9.375" customWidth="1"/>
    <col min="11279" max="11279" width="11.25" customWidth="1"/>
    <col min="11521" max="11521" width="6.5" customWidth="1"/>
    <col min="11522" max="11522" width="12.5" customWidth="1"/>
    <col min="11523" max="11523" width="13.75" customWidth="1"/>
    <col min="11524" max="11524" width="8" customWidth="1"/>
    <col min="11525" max="11525" width="5" customWidth="1"/>
    <col min="11526" max="11526" width="11.25" customWidth="1"/>
    <col min="11527" max="11527" width="13.75" customWidth="1"/>
    <col min="11528" max="11528" width="8" customWidth="1"/>
    <col min="11529" max="11529" width="5" customWidth="1"/>
    <col min="11530" max="11530" width="11.25" customWidth="1"/>
    <col min="11531" max="11531" width="7.75" customWidth="1"/>
    <col min="11532" max="11532" width="11.25" customWidth="1"/>
    <col min="11533" max="11534" width="9.375" customWidth="1"/>
    <col min="11535" max="11535" width="11.25" customWidth="1"/>
    <col min="11777" max="11777" width="6.5" customWidth="1"/>
    <col min="11778" max="11778" width="12.5" customWidth="1"/>
    <col min="11779" max="11779" width="13.75" customWidth="1"/>
    <col min="11780" max="11780" width="8" customWidth="1"/>
    <col min="11781" max="11781" width="5" customWidth="1"/>
    <col min="11782" max="11782" width="11.25" customWidth="1"/>
    <col min="11783" max="11783" width="13.75" customWidth="1"/>
    <col min="11784" max="11784" width="8" customWidth="1"/>
    <col min="11785" max="11785" width="5" customWidth="1"/>
    <col min="11786" max="11786" width="11.25" customWidth="1"/>
    <col min="11787" max="11787" width="7.75" customWidth="1"/>
    <col min="11788" max="11788" width="11.25" customWidth="1"/>
    <col min="11789" max="11790" width="9.375" customWidth="1"/>
    <col min="11791" max="11791" width="11.25" customWidth="1"/>
    <col min="12033" max="12033" width="6.5" customWidth="1"/>
    <col min="12034" max="12034" width="12.5" customWidth="1"/>
    <col min="12035" max="12035" width="13.75" customWidth="1"/>
    <col min="12036" max="12036" width="8" customWidth="1"/>
    <col min="12037" max="12037" width="5" customWidth="1"/>
    <col min="12038" max="12038" width="11.25" customWidth="1"/>
    <col min="12039" max="12039" width="13.75" customWidth="1"/>
    <col min="12040" max="12040" width="8" customWidth="1"/>
    <col min="12041" max="12041" width="5" customWidth="1"/>
    <col min="12042" max="12042" width="11.25" customWidth="1"/>
    <col min="12043" max="12043" width="7.75" customWidth="1"/>
    <col min="12044" max="12044" width="11.25" customWidth="1"/>
    <col min="12045" max="12046" width="9.375" customWidth="1"/>
    <col min="12047" max="12047" width="11.25" customWidth="1"/>
    <col min="12289" max="12289" width="6.5" customWidth="1"/>
    <col min="12290" max="12290" width="12.5" customWidth="1"/>
    <col min="12291" max="12291" width="13.75" customWidth="1"/>
    <col min="12292" max="12292" width="8" customWidth="1"/>
    <col min="12293" max="12293" width="5" customWidth="1"/>
    <col min="12294" max="12294" width="11.25" customWidth="1"/>
    <col min="12295" max="12295" width="13.75" customWidth="1"/>
    <col min="12296" max="12296" width="8" customWidth="1"/>
    <col min="12297" max="12297" width="5" customWidth="1"/>
    <col min="12298" max="12298" width="11.25" customWidth="1"/>
    <col min="12299" max="12299" width="7.75" customWidth="1"/>
    <col min="12300" max="12300" width="11.25" customWidth="1"/>
    <col min="12301" max="12302" width="9.375" customWidth="1"/>
    <col min="12303" max="12303" width="11.25" customWidth="1"/>
    <col min="12545" max="12545" width="6.5" customWidth="1"/>
    <col min="12546" max="12546" width="12.5" customWidth="1"/>
    <col min="12547" max="12547" width="13.75" customWidth="1"/>
    <col min="12548" max="12548" width="8" customWidth="1"/>
    <col min="12549" max="12549" width="5" customWidth="1"/>
    <col min="12550" max="12550" width="11.25" customWidth="1"/>
    <col min="12551" max="12551" width="13.75" customWidth="1"/>
    <col min="12552" max="12552" width="8" customWidth="1"/>
    <col min="12553" max="12553" width="5" customWidth="1"/>
    <col min="12554" max="12554" width="11.25" customWidth="1"/>
    <col min="12555" max="12555" width="7.75" customWidth="1"/>
    <col min="12556" max="12556" width="11.25" customWidth="1"/>
    <col min="12557" max="12558" width="9.375" customWidth="1"/>
    <col min="12559" max="12559" width="11.25" customWidth="1"/>
    <col min="12801" max="12801" width="6.5" customWidth="1"/>
    <col min="12802" max="12802" width="12.5" customWidth="1"/>
    <col min="12803" max="12803" width="13.75" customWidth="1"/>
    <col min="12804" max="12804" width="8" customWidth="1"/>
    <col min="12805" max="12805" width="5" customWidth="1"/>
    <col min="12806" max="12806" width="11.25" customWidth="1"/>
    <col min="12807" max="12807" width="13.75" customWidth="1"/>
    <col min="12808" max="12808" width="8" customWidth="1"/>
    <col min="12809" max="12809" width="5" customWidth="1"/>
    <col min="12810" max="12810" width="11.25" customWidth="1"/>
    <col min="12811" max="12811" width="7.75" customWidth="1"/>
    <col min="12812" max="12812" width="11.25" customWidth="1"/>
    <col min="12813" max="12814" width="9.375" customWidth="1"/>
    <col min="12815" max="12815" width="11.25" customWidth="1"/>
    <col min="13057" max="13057" width="6.5" customWidth="1"/>
    <col min="13058" max="13058" width="12.5" customWidth="1"/>
    <col min="13059" max="13059" width="13.75" customWidth="1"/>
    <col min="13060" max="13060" width="8" customWidth="1"/>
    <col min="13061" max="13061" width="5" customWidth="1"/>
    <col min="13062" max="13062" width="11.25" customWidth="1"/>
    <col min="13063" max="13063" width="13.75" customWidth="1"/>
    <col min="13064" max="13064" width="8" customWidth="1"/>
    <col min="13065" max="13065" width="5" customWidth="1"/>
    <col min="13066" max="13066" width="11.25" customWidth="1"/>
    <col min="13067" max="13067" width="7.75" customWidth="1"/>
    <col min="13068" max="13068" width="11.25" customWidth="1"/>
    <col min="13069" max="13070" width="9.375" customWidth="1"/>
    <col min="13071" max="13071" width="11.25" customWidth="1"/>
    <col min="13313" max="13313" width="6.5" customWidth="1"/>
    <col min="13314" max="13314" width="12.5" customWidth="1"/>
    <col min="13315" max="13315" width="13.75" customWidth="1"/>
    <col min="13316" max="13316" width="8" customWidth="1"/>
    <col min="13317" max="13317" width="5" customWidth="1"/>
    <col min="13318" max="13318" width="11.25" customWidth="1"/>
    <col min="13319" max="13319" width="13.75" customWidth="1"/>
    <col min="13320" max="13320" width="8" customWidth="1"/>
    <col min="13321" max="13321" width="5" customWidth="1"/>
    <col min="13322" max="13322" width="11.25" customWidth="1"/>
    <col min="13323" max="13323" width="7.75" customWidth="1"/>
    <col min="13324" max="13324" width="11.25" customWidth="1"/>
    <col min="13325" max="13326" width="9.375" customWidth="1"/>
    <col min="13327" max="13327" width="11.25" customWidth="1"/>
    <col min="13569" max="13569" width="6.5" customWidth="1"/>
    <col min="13570" max="13570" width="12.5" customWidth="1"/>
    <col min="13571" max="13571" width="13.75" customWidth="1"/>
    <col min="13572" max="13572" width="8" customWidth="1"/>
    <col min="13573" max="13573" width="5" customWidth="1"/>
    <col min="13574" max="13574" width="11.25" customWidth="1"/>
    <col min="13575" max="13575" width="13.75" customWidth="1"/>
    <col min="13576" max="13576" width="8" customWidth="1"/>
    <col min="13577" max="13577" width="5" customWidth="1"/>
    <col min="13578" max="13578" width="11.25" customWidth="1"/>
    <col min="13579" max="13579" width="7.75" customWidth="1"/>
    <col min="13580" max="13580" width="11.25" customWidth="1"/>
    <col min="13581" max="13582" width="9.375" customWidth="1"/>
    <col min="13583" max="13583" width="11.25" customWidth="1"/>
    <col min="13825" max="13825" width="6.5" customWidth="1"/>
    <col min="13826" max="13826" width="12.5" customWidth="1"/>
    <col min="13827" max="13827" width="13.75" customWidth="1"/>
    <col min="13828" max="13828" width="8" customWidth="1"/>
    <col min="13829" max="13829" width="5" customWidth="1"/>
    <col min="13830" max="13830" width="11.25" customWidth="1"/>
    <col min="13831" max="13831" width="13.75" customWidth="1"/>
    <col min="13832" max="13832" width="8" customWidth="1"/>
    <col min="13833" max="13833" width="5" customWidth="1"/>
    <col min="13834" max="13834" width="11.25" customWidth="1"/>
    <col min="13835" max="13835" width="7.75" customWidth="1"/>
    <col min="13836" max="13836" width="11.25" customWidth="1"/>
    <col min="13837" max="13838" width="9.375" customWidth="1"/>
    <col min="13839" max="13839" width="11.25" customWidth="1"/>
    <col min="14081" max="14081" width="6.5" customWidth="1"/>
    <col min="14082" max="14082" width="12.5" customWidth="1"/>
    <col min="14083" max="14083" width="13.75" customWidth="1"/>
    <col min="14084" max="14084" width="8" customWidth="1"/>
    <col min="14085" max="14085" width="5" customWidth="1"/>
    <col min="14086" max="14086" width="11.25" customWidth="1"/>
    <col min="14087" max="14087" width="13.75" customWidth="1"/>
    <col min="14088" max="14088" width="8" customWidth="1"/>
    <col min="14089" max="14089" width="5" customWidth="1"/>
    <col min="14090" max="14090" width="11.25" customWidth="1"/>
    <col min="14091" max="14091" width="7.75" customWidth="1"/>
    <col min="14092" max="14092" width="11.25" customWidth="1"/>
    <col min="14093" max="14094" width="9.375" customWidth="1"/>
    <col min="14095" max="14095" width="11.25" customWidth="1"/>
    <col min="14337" max="14337" width="6.5" customWidth="1"/>
    <col min="14338" max="14338" width="12.5" customWidth="1"/>
    <col min="14339" max="14339" width="13.75" customWidth="1"/>
    <col min="14340" max="14340" width="8" customWidth="1"/>
    <col min="14341" max="14341" width="5" customWidth="1"/>
    <col min="14342" max="14342" width="11.25" customWidth="1"/>
    <col min="14343" max="14343" width="13.75" customWidth="1"/>
    <col min="14344" max="14344" width="8" customWidth="1"/>
    <col min="14345" max="14345" width="5" customWidth="1"/>
    <col min="14346" max="14346" width="11.25" customWidth="1"/>
    <col min="14347" max="14347" width="7.75" customWidth="1"/>
    <col min="14348" max="14348" width="11.25" customWidth="1"/>
    <col min="14349" max="14350" width="9.375" customWidth="1"/>
    <col min="14351" max="14351" width="11.25" customWidth="1"/>
    <col min="14593" max="14593" width="6.5" customWidth="1"/>
    <col min="14594" max="14594" width="12.5" customWidth="1"/>
    <col min="14595" max="14595" width="13.75" customWidth="1"/>
    <col min="14596" max="14596" width="8" customWidth="1"/>
    <col min="14597" max="14597" width="5" customWidth="1"/>
    <col min="14598" max="14598" width="11.25" customWidth="1"/>
    <col min="14599" max="14599" width="13.75" customWidth="1"/>
    <col min="14600" max="14600" width="8" customWidth="1"/>
    <col min="14601" max="14601" width="5" customWidth="1"/>
    <col min="14602" max="14602" width="11.25" customWidth="1"/>
    <col min="14603" max="14603" width="7.75" customWidth="1"/>
    <col min="14604" max="14604" width="11.25" customWidth="1"/>
    <col min="14605" max="14606" width="9.375" customWidth="1"/>
    <col min="14607" max="14607" width="11.25" customWidth="1"/>
    <col min="14849" max="14849" width="6.5" customWidth="1"/>
    <col min="14850" max="14850" width="12.5" customWidth="1"/>
    <col min="14851" max="14851" width="13.75" customWidth="1"/>
    <col min="14852" max="14852" width="8" customWidth="1"/>
    <col min="14853" max="14853" width="5" customWidth="1"/>
    <col min="14854" max="14854" width="11.25" customWidth="1"/>
    <col min="14855" max="14855" width="13.75" customWidth="1"/>
    <col min="14856" max="14856" width="8" customWidth="1"/>
    <col min="14857" max="14857" width="5" customWidth="1"/>
    <col min="14858" max="14858" width="11.25" customWidth="1"/>
    <col min="14859" max="14859" width="7.75" customWidth="1"/>
    <col min="14860" max="14860" width="11.25" customWidth="1"/>
    <col min="14861" max="14862" width="9.375" customWidth="1"/>
    <col min="14863" max="14863" width="11.25" customWidth="1"/>
    <col min="15105" max="15105" width="6.5" customWidth="1"/>
    <col min="15106" max="15106" width="12.5" customWidth="1"/>
    <col min="15107" max="15107" width="13.75" customWidth="1"/>
    <col min="15108" max="15108" width="8" customWidth="1"/>
    <col min="15109" max="15109" width="5" customWidth="1"/>
    <col min="15110" max="15110" width="11.25" customWidth="1"/>
    <col min="15111" max="15111" width="13.75" customWidth="1"/>
    <col min="15112" max="15112" width="8" customWidth="1"/>
    <col min="15113" max="15113" width="5" customWidth="1"/>
    <col min="15114" max="15114" width="11.25" customWidth="1"/>
    <col min="15115" max="15115" width="7.75" customWidth="1"/>
    <col min="15116" max="15116" width="11.25" customWidth="1"/>
    <col min="15117" max="15118" width="9.375" customWidth="1"/>
    <col min="15119" max="15119" width="11.25" customWidth="1"/>
    <col min="15361" max="15361" width="6.5" customWidth="1"/>
    <col min="15362" max="15362" width="12.5" customWidth="1"/>
    <col min="15363" max="15363" width="13.75" customWidth="1"/>
    <col min="15364" max="15364" width="8" customWidth="1"/>
    <col min="15365" max="15365" width="5" customWidth="1"/>
    <col min="15366" max="15366" width="11.25" customWidth="1"/>
    <col min="15367" max="15367" width="13.75" customWidth="1"/>
    <col min="15368" max="15368" width="8" customWidth="1"/>
    <col min="15369" max="15369" width="5" customWidth="1"/>
    <col min="15370" max="15370" width="11.25" customWidth="1"/>
    <col min="15371" max="15371" width="7.75" customWidth="1"/>
    <col min="15372" max="15372" width="11.25" customWidth="1"/>
    <col min="15373" max="15374" width="9.375" customWidth="1"/>
    <col min="15375" max="15375" width="11.25" customWidth="1"/>
    <col min="15617" max="15617" width="6.5" customWidth="1"/>
    <col min="15618" max="15618" width="12.5" customWidth="1"/>
    <col min="15619" max="15619" width="13.75" customWidth="1"/>
    <col min="15620" max="15620" width="8" customWidth="1"/>
    <col min="15621" max="15621" width="5" customWidth="1"/>
    <col min="15622" max="15622" width="11.25" customWidth="1"/>
    <col min="15623" max="15623" width="13.75" customWidth="1"/>
    <col min="15624" max="15624" width="8" customWidth="1"/>
    <col min="15625" max="15625" width="5" customWidth="1"/>
    <col min="15626" max="15626" width="11.25" customWidth="1"/>
    <col min="15627" max="15627" width="7.75" customWidth="1"/>
    <col min="15628" max="15628" width="11.25" customWidth="1"/>
    <col min="15629" max="15630" width="9.375" customWidth="1"/>
    <col min="15631" max="15631" width="11.25" customWidth="1"/>
    <col min="15873" max="15873" width="6.5" customWidth="1"/>
    <col min="15874" max="15874" width="12.5" customWidth="1"/>
    <col min="15875" max="15875" width="13.75" customWidth="1"/>
    <col min="15876" max="15876" width="8" customWidth="1"/>
    <col min="15877" max="15877" width="5" customWidth="1"/>
    <col min="15878" max="15878" width="11.25" customWidth="1"/>
    <col min="15879" max="15879" width="13.75" customWidth="1"/>
    <col min="15880" max="15880" width="8" customWidth="1"/>
    <col min="15881" max="15881" width="5" customWidth="1"/>
    <col min="15882" max="15882" width="11.25" customWidth="1"/>
    <col min="15883" max="15883" width="7.75" customWidth="1"/>
    <col min="15884" max="15884" width="11.25" customWidth="1"/>
    <col min="15885" max="15886" width="9.375" customWidth="1"/>
    <col min="15887" max="15887" width="11.25" customWidth="1"/>
    <col min="16129" max="16129" width="6.5" customWidth="1"/>
    <col min="16130" max="16130" width="12.5" customWidth="1"/>
    <col min="16131" max="16131" width="13.75" customWidth="1"/>
    <col min="16132" max="16132" width="8" customWidth="1"/>
    <col min="16133" max="16133" width="5" customWidth="1"/>
    <col min="16134" max="16134" width="11.25" customWidth="1"/>
    <col min="16135" max="16135" width="13.75" customWidth="1"/>
    <col min="16136" max="16136" width="8" customWidth="1"/>
    <col min="16137" max="16137" width="5" customWidth="1"/>
    <col min="16138" max="16138" width="11.25" customWidth="1"/>
    <col min="16139" max="16139" width="7.75" customWidth="1"/>
    <col min="16140" max="16140" width="11.25" customWidth="1"/>
    <col min="16141" max="16142" width="9.375" customWidth="1"/>
    <col min="16143" max="16143" width="11.25" customWidth="1"/>
  </cols>
  <sheetData>
    <row r="1" spans="1:15" x14ac:dyDescent="0.15">
      <c r="A1" s="381" t="s">
        <v>17</v>
      </c>
      <c r="B1" s="381" t="s">
        <v>18</v>
      </c>
      <c r="C1" s="385" t="s">
        <v>19</v>
      </c>
      <c r="D1" s="385"/>
      <c r="E1" s="385"/>
      <c r="F1" s="385"/>
      <c r="G1" s="385" t="s">
        <v>20</v>
      </c>
      <c r="H1" s="385"/>
      <c r="I1" s="385"/>
      <c r="J1" s="385"/>
      <c r="K1" s="386" t="s">
        <v>21</v>
      </c>
      <c r="L1" s="387"/>
      <c r="M1" s="387"/>
      <c r="N1" s="387"/>
      <c r="O1" s="388"/>
    </row>
    <row r="2" spans="1:15" x14ac:dyDescent="0.15">
      <c r="A2" s="381"/>
      <c r="B2" s="381"/>
      <c r="C2" s="18" t="s">
        <v>22</v>
      </c>
      <c r="D2" s="18" t="s">
        <v>23</v>
      </c>
      <c r="E2" s="18" t="s">
        <v>24</v>
      </c>
      <c r="F2" s="18" t="s">
        <v>25</v>
      </c>
      <c r="G2" s="18" t="s">
        <v>22</v>
      </c>
      <c r="H2" s="18" t="s">
        <v>23</v>
      </c>
      <c r="I2" s="18" t="s">
        <v>24</v>
      </c>
      <c r="J2" s="18" t="s">
        <v>25</v>
      </c>
      <c r="K2" s="18" t="s">
        <v>26</v>
      </c>
      <c r="L2" s="18" t="s">
        <v>27</v>
      </c>
      <c r="M2" s="18" t="s">
        <v>28</v>
      </c>
      <c r="N2" s="18" t="s">
        <v>29</v>
      </c>
      <c r="O2" s="18" t="s">
        <v>30</v>
      </c>
    </row>
    <row r="3" spans="1:15" ht="4.5" customHeight="1" x14ac:dyDescent="0.15">
      <c r="A3" s="18"/>
      <c r="B3" s="18"/>
      <c r="C3" s="18"/>
      <c r="D3" s="18"/>
      <c r="E3" s="18"/>
      <c r="F3" s="18"/>
      <c r="G3" s="18"/>
      <c r="H3" s="18"/>
      <c r="I3" s="18"/>
      <c r="J3" s="18"/>
      <c r="K3" s="18"/>
      <c r="L3" s="18"/>
      <c r="M3" s="18"/>
      <c r="N3" s="18"/>
      <c r="O3" s="18"/>
    </row>
    <row r="4" spans="1:15" s="3" customFormat="1" x14ac:dyDescent="0.15">
      <c r="A4" s="19" t="s">
        <v>31</v>
      </c>
      <c r="B4" s="20" t="s">
        <v>32</v>
      </c>
      <c r="C4" s="21">
        <v>37284.611805555556</v>
      </c>
      <c r="D4" s="22">
        <v>133.94999999999999</v>
      </c>
      <c r="E4" s="23">
        <v>10</v>
      </c>
      <c r="F4" s="24">
        <v>113800</v>
      </c>
      <c r="G4" s="21">
        <v>37284.611805555556</v>
      </c>
      <c r="H4" s="22">
        <v>133.94999999999999</v>
      </c>
      <c r="I4" s="23">
        <v>10</v>
      </c>
      <c r="J4" s="24">
        <v>113800</v>
      </c>
      <c r="K4" s="25"/>
      <c r="L4" s="26">
        <v>-1018000</v>
      </c>
      <c r="M4" s="26">
        <v>-904200</v>
      </c>
      <c r="N4" s="26">
        <v>-1018000</v>
      </c>
      <c r="O4" s="26">
        <v>-1018000</v>
      </c>
    </row>
    <row r="5" spans="1:15" x14ac:dyDescent="0.15">
      <c r="A5" s="27"/>
      <c r="B5" s="28"/>
      <c r="C5" s="29"/>
      <c r="D5" s="30"/>
      <c r="E5" s="31"/>
      <c r="F5" s="32"/>
      <c r="G5" s="29"/>
      <c r="H5" s="30"/>
      <c r="I5" s="31"/>
      <c r="J5" s="32"/>
      <c r="K5" s="32"/>
      <c r="L5" s="33"/>
      <c r="M5" s="33"/>
      <c r="N5" s="33"/>
      <c r="O5" s="33"/>
    </row>
    <row r="6" spans="1:15" x14ac:dyDescent="0.15">
      <c r="A6" s="27"/>
    </row>
    <row r="7" spans="1:15" x14ac:dyDescent="0.15">
      <c r="A7" s="27"/>
    </row>
    <row r="8" spans="1:15" x14ac:dyDescent="0.15">
      <c r="A8" s="27"/>
    </row>
    <row r="9" spans="1:15" x14ac:dyDescent="0.15">
      <c r="A9" s="27"/>
    </row>
    <row r="10" spans="1:15" x14ac:dyDescent="0.15">
      <c r="A10" s="27"/>
    </row>
    <row r="11" spans="1:15" x14ac:dyDescent="0.15">
      <c r="A11" s="27"/>
    </row>
    <row r="12" spans="1:15" x14ac:dyDescent="0.15">
      <c r="A12" s="27"/>
    </row>
    <row r="13" spans="1:15" x14ac:dyDescent="0.15">
      <c r="A13" s="27"/>
    </row>
    <row r="14" spans="1:15" x14ac:dyDescent="0.15">
      <c r="A14" s="27"/>
    </row>
    <row r="15" spans="1:15" x14ac:dyDescent="0.15">
      <c r="A15" s="27"/>
    </row>
    <row r="16" spans="1:15" x14ac:dyDescent="0.15">
      <c r="A16" s="27"/>
    </row>
    <row r="17" spans="1:1" x14ac:dyDescent="0.15">
      <c r="A17" s="27"/>
    </row>
    <row r="18" spans="1:1" x14ac:dyDescent="0.15">
      <c r="A18" s="27"/>
    </row>
    <row r="19" spans="1:1" x14ac:dyDescent="0.15">
      <c r="A19" s="27"/>
    </row>
    <row r="20" spans="1:1" x14ac:dyDescent="0.15">
      <c r="A20" s="27"/>
    </row>
    <row r="21" spans="1:1" x14ac:dyDescent="0.15">
      <c r="A21" s="27"/>
    </row>
    <row r="22" spans="1:1" x14ac:dyDescent="0.15">
      <c r="A22" s="27"/>
    </row>
    <row r="23" spans="1:1" x14ac:dyDescent="0.15">
      <c r="A23" s="27"/>
    </row>
    <row r="24" spans="1:1" x14ac:dyDescent="0.15">
      <c r="A24" s="27"/>
    </row>
    <row r="25" spans="1:1" x14ac:dyDescent="0.15">
      <c r="A25" s="27"/>
    </row>
    <row r="26" spans="1:1" x14ac:dyDescent="0.15">
      <c r="A26" s="27"/>
    </row>
    <row r="27" spans="1:1" x14ac:dyDescent="0.15">
      <c r="A27" s="27"/>
    </row>
    <row r="28" spans="1:1" x14ac:dyDescent="0.15">
      <c r="A28" s="27"/>
    </row>
    <row r="29" spans="1:1" x14ac:dyDescent="0.15">
      <c r="A29" s="27"/>
    </row>
    <row r="30" spans="1:1" x14ac:dyDescent="0.15">
      <c r="A30" s="27"/>
    </row>
    <row r="31" spans="1:1" x14ac:dyDescent="0.15">
      <c r="A31" s="27"/>
    </row>
    <row r="32" spans="1:1" x14ac:dyDescent="0.15">
      <c r="A32" s="27"/>
    </row>
    <row r="33" spans="1:1" x14ac:dyDescent="0.15">
      <c r="A33" s="27"/>
    </row>
    <row r="34" spans="1:1" x14ac:dyDescent="0.15">
      <c r="A34" s="27"/>
    </row>
    <row r="35" spans="1:1" x14ac:dyDescent="0.15">
      <c r="A35" s="27"/>
    </row>
    <row r="36" spans="1:1" x14ac:dyDescent="0.15">
      <c r="A36" s="27"/>
    </row>
    <row r="37" spans="1:1" x14ac:dyDescent="0.15">
      <c r="A37" s="27"/>
    </row>
    <row r="38" spans="1:1" x14ac:dyDescent="0.15">
      <c r="A38" s="27"/>
    </row>
    <row r="39" spans="1:1" x14ac:dyDescent="0.15">
      <c r="A39" s="27"/>
    </row>
    <row r="40" spans="1:1" x14ac:dyDescent="0.15">
      <c r="A40" s="27"/>
    </row>
    <row r="41" spans="1:1" x14ac:dyDescent="0.15">
      <c r="A41" s="27"/>
    </row>
    <row r="42" spans="1:1" x14ac:dyDescent="0.15">
      <c r="A42" s="27"/>
    </row>
    <row r="43" spans="1:1" x14ac:dyDescent="0.15">
      <c r="A43" s="27"/>
    </row>
    <row r="44" spans="1:1" x14ac:dyDescent="0.15">
      <c r="A44" s="27"/>
    </row>
  </sheetData>
  <mergeCells count="5">
    <mergeCell ref="A1:A2"/>
    <mergeCell ref="B1:B2"/>
    <mergeCell ref="C1:F1"/>
    <mergeCell ref="G1:J1"/>
    <mergeCell ref="K1:O1"/>
  </mergeCells>
  <phoneticPr fontId="3"/>
  <pageMargins left="0.43307086614173229" right="0.19685039370078741" top="0.9055118110236221" bottom="0.70866141732283472" header="0.59055118110236227" footer="0.51181102362204722"/>
  <pageSetup paperSize="9" orientation="landscape"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1162D-61C6-4897-B011-32C8C11B179C}">
  <sheetPr codeName="Sheet4"/>
  <dimension ref="A1:Y4"/>
  <sheetViews>
    <sheetView zoomScaleNormal="100" workbookViewId="0">
      <pane xSplit="7" ySplit="4" topLeftCell="H5" activePane="bottomRight" state="frozen"/>
      <selection activeCell="V20" sqref="V20"/>
      <selection pane="topRight" activeCell="V20" sqref="V20"/>
      <selection pane="bottomLeft" activeCell="V20" sqref="V20"/>
      <selection pane="bottomRight" activeCell="A7" sqref="A7"/>
    </sheetView>
  </sheetViews>
  <sheetFormatPr defaultRowHeight="13.5" x14ac:dyDescent="0.15"/>
  <cols>
    <col min="1" max="1" width="9.125" style="35" customWidth="1"/>
    <col min="2" max="2" width="3.125" style="35" customWidth="1"/>
    <col min="3" max="3" width="10" style="35" customWidth="1"/>
    <col min="4" max="4" width="4.625" style="35" customWidth="1"/>
    <col min="5" max="5" width="8.625" style="35" customWidth="1"/>
    <col min="6" max="7" width="4.375" style="35" customWidth="1"/>
    <col min="8" max="10" width="6" style="35" customWidth="1"/>
    <col min="11" max="21" width="8.125" style="35" customWidth="1"/>
    <col min="22" max="22" width="4.5" style="35" customWidth="1"/>
    <col min="23" max="24" width="7.5" style="35" customWidth="1"/>
    <col min="25" max="25" width="9.625" style="35" customWidth="1"/>
    <col min="257" max="257" width="9.125" customWidth="1"/>
    <col min="258" max="258" width="3.125" customWidth="1"/>
    <col min="259" max="259" width="10" customWidth="1"/>
    <col min="260" max="260" width="4.625" customWidth="1"/>
    <col min="261" max="261" width="8.625" customWidth="1"/>
    <col min="262" max="263" width="4.375" customWidth="1"/>
    <col min="264" max="266" width="6" customWidth="1"/>
    <col min="267" max="277" width="8.125" customWidth="1"/>
    <col min="278" max="278" width="4.5" customWidth="1"/>
    <col min="279" max="280" width="7.5" customWidth="1"/>
    <col min="281" max="281" width="9.625" customWidth="1"/>
    <col min="513" max="513" width="9.125" customWidth="1"/>
    <col min="514" max="514" width="3.125" customWidth="1"/>
    <col min="515" max="515" width="10" customWidth="1"/>
    <col min="516" max="516" width="4.625" customWidth="1"/>
    <col min="517" max="517" width="8.625" customWidth="1"/>
    <col min="518" max="519" width="4.375" customWidth="1"/>
    <col min="520" max="522" width="6" customWidth="1"/>
    <col min="523" max="533" width="8.125" customWidth="1"/>
    <col min="534" max="534" width="4.5" customWidth="1"/>
    <col min="535" max="536" width="7.5" customWidth="1"/>
    <col min="537" max="537" width="9.625" customWidth="1"/>
    <col min="769" max="769" width="9.125" customWidth="1"/>
    <col min="770" max="770" width="3.125" customWidth="1"/>
    <col min="771" max="771" width="10" customWidth="1"/>
    <col min="772" max="772" width="4.625" customWidth="1"/>
    <col min="773" max="773" width="8.625" customWidth="1"/>
    <col min="774" max="775" width="4.375" customWidth="1"/>
    <col min="776" max="778" width="6" customWidth="1"/>
    <col min="779" max="789" width="8.125" customWidth="1"/>
    <col min="790" max="790" width="4.5" customWidth="1"/>
    <col min="791" max="792" width="7.5" customWidth="1"/>
    <col min="793" max="793" width="9.625" customWidth="1"/>
    <col min="1025" max="1025" width="9.125" customWidth="1"/>
    <col min="1026" max="1026" width="3.125" customWidth="1"/>
    <col min="1027" max="1027" width="10" customWidth="1"/>
    <col min="1028" max="1028" width="4.625" customWidth="1"/>
    <col min="1029" max="1029" width="8.625" customWidth="1"/>
    <col min="1030" max="1031" width="4.375" customWidth="1"/>
    <col min="1032" max="1034" width="6" customWidth="1"/>
    <col min="1035" max="1045" width="8.125" customWidth="1"/>
    <col min="1046" max="1046" width="4.5" customWidth="1"/>
    <col min="1047" max="1048" width="7.5" customWidth="1"/>
    <col min="1049" max="1049" width="9.625" customWidth="1"/>
    <col min="1281" max="1281" width="9.125" customWidth="1"/>
    <col min="1282" max="1282" width="3.125" customWidth="1"/>
    <col min="1283" max="1283" width="10" customWidth="1"/>
    <col min="1284" max="1284" width="4.625" customWidth="1"/>
    <col min="1285" max="1285" width="8.625" customWidth="1"/>
    <col min="1286" max="1287" width="4.375" customWidth="1"/>
    <col min="1288" max="1290" width="6" customWidth="1"/>
    <col min="1291" max="1301" width="8.125" customWidth="1"/>
    <col min="1302" max="1302" width="4.5" customWidth="1"/>
    <col min="1303" max="1304" width="7.5" customWidth="1"/>
    <col min="1305" max="1305" width="9.625" customWidth="1"/>
    <col min="1537" max="1537" width="9.125" customWidth="1"/>
    <col min="1538" max="1538" width="3.125" customWidth="1"/>
    <col min="1539" max="1539" width="10" customWidth="1"/>
    <col min="1540" max="1540" width="4.625" customWidth="1"/>
    <col min="1541" max="1541" width="8.625" customWidth="1"/>
    <col min="1542" max="1543" width="4.375" customWidth="1"/>
    <col min="1544" max="1546" width="6" customWidth="1"/>
    <col min="1547" max="1557" width="8.125" customWidth="1"/>
    <col min="1558" max="1558" width="4.5" customWidth="1"/>
    <col min="1559" max="1560" width="7.5" customWidth="1"/>
    <col min="1561" max="1561" width="9.625" customWidth="1"/>
    <col min="1793" max="1793" width="9.125" customWidth="1"/>
    <col min="1794" max="1794" width="3.125" customWidth="1"/>
    <col min="1795" max="1795" width="10" customWidth="1"/>
    <col min="1796" max="1796" width="4.625" customWidth="1"/>
    <col min="1797" max="1797" width="8.625" customWidth="1"/>
    <col min="1798" max="1799" width="4.375" customWidth="1"/>
    <col min="1800" max="1802" width="6" customWidth="1"/>
    <col min="1803" max="1813" width="8.125" customWidth="1"/>
    <col min="1814" max="1814" width="4.5" customWidth="1"/>
    <col min="1815" max="1816" width="7.5" customWidth="1"/>
    <col min="1817" max="1817" width="9.625" customWidth="1"/>
    <col min="2049" max="2049" width="9.125" customWidth="1"/>
    <col min="2050" max="2050" width="3.125" customWidth="1"/>
    <col min="2051" max="2051" width="10" customWidth="1"/>
    <col min="2052" max="2052" width="4.625" customWidth="1"/>
    <col min="2053" max="2053" width="8.625" customWidth="1"/>
    <col min="2054" max="2055" width="4.375" customWidth="1"/>
    <col min="2056" max="2058" width="6" customWidth="1"/>
    <col min="2059" max="2069" width="8.125" customWidth="1"/>
    <col min="2070" max="2070" width="4.5" customWidth="1"/>
    <col min="2071" max="2072" width="7.5" customWidth="1"/>
    <col min="2073" max="2073" width="9.625" customWidth="1"/>
    <col min="2305" max="2305" width="9.125" customWidth="1"/>
    <col min="2306" max="2306" width="3.125" customWidth="1"/>
    <col min="2307" max="2307" width="10" customWidth="1"/>
    <col min="2308" max="2308" width="4.625" customWidth="1"/>
    <col min="2309" max="2309" width="8.625" customWidth="1"/>
    <col min="2310" max="2311" width="4.375" customWidth="1"/>
    <col min="2312" max="2314" width="6" customWidth="1"/>
    <col min="2315" max="2325" width="8.125" customWidth="1"/>
    <col min="2326" max="2326" width="4.5" customWidth="1"/>
    <col min="2327" max="2328" width="7.5" customWidth="1"/>
    <col min="2329" max="2329" width="9.625" customWidth="1"/>
    <col min="2561" max="2561" width="9.125" customWidth="1"/>
    <col min="2562" max="2562" width="3.125" customWidth="1"/>
    <col min="2563" max="2563" width="10" customWidth="1"/>
    <col min="2564" max="2564" width="4.625" customWidth="1"/>
    <col min="2565" max="2565" width="8.625" customWidth="1"/>
    <col min="2566" max="2567" width="4.375" customWidth="1"/>
    <col min="2568" max="2570" width="6" customWidth="1"/>
    <col min="2571" max="2581" width="8.125" customWidth="1"/>
    <col min="2582" max="2582" width="4.5" customWidth="1"/>
    <col min="2583" max="2584" width="7.5" customWidth="1"/>
    <col min="2585" max="2585" width="9.625" customWidth="1"/>
    <col min="2817" max="2817" width="9.125" customWidth="1"/>
    <col min="2818" max="2818" width="3.125" customWidth="1"/>
    <col min="2819" max="2819" width="10" customWidth="1"/>
    <col min="2820" max="2820" width="4.625" customWidth="1"/>
    <col min="2821" max="2821" width="8.625" customWidth="1"/>
    <col min="2822" max="2823" width="4.375" customWidth="1"/>
    <col min="2824" max="2826" width="6" customWidth="1"/>
    <col min="2827" max="2837" width="8.125" customWidth="1"/>
    <col min="2838" max="2838" width="4.5" customWidth="1"/>
    <col min="2839" max="2840" width="7.5" customWidth="1"/>
    <col min="2841" max="2841" width="9.625" customWidth="1"/>
    <col min="3073" max="3073" width="9.125" customWidth="1"/>
    <col min="3074" max="3074" width="3.125" customWidth="1"/>
    <col min="3075" max="3075" width="10" customWidth="1"/>
    <col min="3076" max="3076" width="4.625" customWidth="1"/>
    <col min="3077" max="3077" width="8.625" customWidth="1"/>
    <col min="3078" max="3079" width="4.375" customWidth="1"/>
    <col min="3080" max="3082" width="6" customWidth="1"/>
    <col min="3083" max="3093" width="8.125" customWidth="1"/>
    <col min="3094" max="3094" width="4.5" customWidth="1"/>
    <col min="3095" max="3096" width="7.5" customWidth="1"/>
    <col min="3097" max="3097" width="9.625" customWidth="1"/>
    <col min="3329" max="3329" width="9.125" customWidth="1"/>
    <col min="3330" max="3330" width="3.125" customWidth="1"/>
    <col min="3331" max="3331" width="10" customWidth="1"/>
    <col min="3332" max="3332" width="4.625" customWidth="1"/>
    <col min="3333" max="3333" width="8.625" customWidth="1"/>
    <col min="3334" max="3335" width="4.375" customWidth="1"/>
    <col min="3336" max="3338" width="6" customWidth="1"/>
    <col min="3339" max="3349" width="8.125" customWidth="1"/>
    <col min="3350" max="3350" width="4.5" customWidth="1"/>
    <col min="3351" max="3352" width="7.5" customWidth="1"/>
    <col min="3353" max="3353" width="9.625" customWidth="1"/>
    <col min="3585" max="3585" width="9.125" customWidth="1"/>
    <col min="3586" max="3586" width="3.125" customWidth="1"/>
    <col min="3587" max="3587" width="10" customWidth="1"/>
    <col min="3588" max="3588" width="4.625" customWidth="1"/>
    <col min="3589" max="3589" width="8.625" customWidth="1"/>
    <col min="3590" max="3591" width="4.375" customWidth="1"/>
    <col min="3592" max="3594" width="6" customWidth="1"/>
    <col min="3595" max="3605" width="8.125" customWidth="1"/>
    <col min="3606" max="3606" width="4.5" customWidth="1"/>
    <col min="3607" max="3608" width="7.5" customWidth="1"/>
    <col min="3609" max="3609" width="9.625" customWidth="1"/>
    <col min="3841" max="3841" width="9.125" customWidth="1"/>
    <col min="3842" max="3842" width="3.125" customWidth="1"/>
    <col min="3843" max="3843" width="10" customWidth="1"/>
    <col min="3844" max="3844" width="4.625" customWidth="1"/>
    <col min="3845" max="3845" width="8.625" customWidth="1"/>
    <col min="3846" max="3847" width="4.375" customWidth="1"/>
    <col min="3848" max="3850" width="6" customWidth="1"/>
    <col min="3851" max="3861" width="8.125" customWidth="1"/>
    <col min="3862" max="3862" width="4.5" customWidth="1"/>
    <col min="3863" max="3864" width="7.5" customWidth="1"/>
    <col min="3865" max="3865" width="9.625" customWidth="1"/>
    <col min="4097" max="4097" width="9.125" customWidth="1"/>
    <col min="4098" max="4098" width="3.125" customWidth="1"/>
    <col min="4099" max="4099" width="10" customWidth="1"/>
    <col min="4100" max="4100" width="4.625" customWidth="1"/>
    <col min="4101" max="4101" width="8.625" customWidth="1"/>
    <col min="4102" max="4103" width="4.375" customWidth="1"/>
    <col min="4104" max="4106" width="6" customWidth="1"/>
    <col min="4107" max="4117" width="8.125" customWidth="1"/>
    <col min="4118" max="4118" width="4.5" customWidth="1"/>
    <col min="4119" max="4120" width="7.5" customWidth="1"/>
    <col min="4121" max="4121" width="9.625" customWidth="1"/>
    <col min="4353" max="4353" width="9.125" customWidth="1"/>
    <col min="4354" max="4354" width="3.125" customWidth="1"/>
    <col min="4355" max="4355" width="10" customWidth="1"/>
    <col min="4356" max="4356" width="4.625" customWidth="1"/>
    <col min="4357" max="4357" width="8.625" customWidth="1"/>
    <col min="4358" max="4359" width="4.375" customWidth="1"/>
    <col min="4360" max="4362" width="6" customWidth="1"/>
    <col min="4363" max="4373" width="8.125" customWidth="1"/>
    <col min="4374" max="4374" width="4.5" customWidth="1"/>
    <col min="4375" max="4376" width="7.5" customWidth="1"/>
    <col min="4377" max="4377" width="9.625" customWidth="1"/>
    <col min="4609" max="4609" width="9.125" customWidth="1"/>
    <col min="4610" max="4610" width="3.125" customWidth="1"/>
    <col min="4611" max="4611" width="10" customWidth="1"/>
    <col min="4612" max="4612" width="4.625" customWidth="1"/>
    <col min="4613" max="4613" width="8.625" customWidth="1"/>
    <col min="4614" max="4615" width="4.375" customWidth="1"/>
    <col min="4616" max="4618" width="6" customWidth="1"/>
    <col min="4619" max="4629" width="8.125" customWidth="1"/>
    <col min="4630" max="4630" width="4.5" customWidth="1"/>
    <col min="4631" max="4632" width="7.5" customWidth="1"/>
    <col min="4633" max="4633" width="9.625" customWidth="1"/>
    <col min="4865" max="4865" width="9.125" customWidth="1"/>
    <col min="4866" max="4866" width="3.125" customWidth="1"/>
    <col min="4867" max="4867" width="10" customWidth="1"/>
    <col min="4868" max="4868" width="4.625" customWidth="1"/>
    <col min="4869" max="4869" width="8.625" customWidth="1"/>
    <col min="4870" max="4871" width="4.375" customWidth="1"/>
    <col min="4872" max="4874" width="6" customWidth="1"/>
    <col min="4875" max="4885" width="8.125" customWidth="1"/>
    <col min="4886" max="4886" width="4.5" customWidth="1"/>
    <col min="4887" max="4888" width="7.5" customWidth="1"/>
    <col min="4889" max="4889" width="9.625" customWidth="1"/>
    <col min="5121" max="5121" width="9.125" customWidth="1"/>
    <col min="5122" max="5122" width="3.125" customWidth="1"/>
    <col min="5123" max="5123" width="10" customWidth="1"/>
    <col min="5124" max="5124" width="4.625" customWidth="1"/>
    <col min="5125" max="5125" width="8.625" customWidth="1"/>
    <col min="5126" max="5127" width="4.375" customWidth="1"/>
    <col min="5128" max="5130" width="6" customWidth="1"/>
    <col min="5131" max="5141" width="8.125" customWidth="1"/>
    <col min="5142" max="5142" width="4.5" customWidth="1"/>
    <col min="5143" max="5144" width="7.5" customWidth="1"/>
    <col min="5145" max="5145" width="9.625" customWidth="1"/>
    <col min="5377" max="5377" width="9.125" customWidth="1"/>
    <col min="5378" max="5378" width="3.125" customWidth="1"/>
    <col min="5379" max="5379" width="10" customWidth="1"/>
    <col min="5380" max="5380" width="4.625" customWidth="1"/>
    <col min="5381" max="5381" width="8.625" customWidth="1"/>
    <col min="5382" max="5383" width="4.375" customWidth="1"/>
    <col min="5384" max="5386" width="6" customWidth="1"/>
    <col min="5387" max="5397" width="8.125" customWidth="1"/>
    <col min="5398" max="5398" width="4.5" customWidth="1"/>
    <col min="5399" max="5400" width="7.5" customWidth="1"/>
    <col min="5401" max="5401" width="9.625" customWidth="1"/>
    <col min="5633" max="5633" width="9.125" customWidth="1"/>
    <col min="5634" max="5634" width="3.125" customWidth="1"/>
    <col min="5635" max="5635" width="10" customWidth="1"/>
    <col min="5636" max="5636" width="4.625" customWidth="1"/>
    <col min="5637" max="5637" width="8.625" customWidth="1"/>
    <col min="5638" max="5639" width="4.375" customWidth="1"/>
    <col min="5640" max="5642" width="6" customWidth="1"/>
    <col min="5643" max="5653" width="8.125" customWidth="1"/>
    <col min="5654" max="5654" width="4.5" customWidth="1"/>
    <col min="5655" max="5656" width="7.5" customWidth="1"/>
    <col min="5657" max="5657" width="9.625" customWidth="1"/>
    <col min="5889" max="5889" width="9.125" customWidth="1"/>
    <col min="5890" max="5890" width="3.125" customWidth="1"/>
    <col min="5891" max="5891" width="10" customWidth="1"/>
    <col min="5892" max="5892" width="4.625" customWidth="1"/>
    <col min="5893" max="5893" width="8.625" customWidth="1"/>
    <col min="5894" max="5895" width="4.375" customWidth="1"/>
    <col min="5896" max="5898" width="6" customWidth="1"/>
    <col min="5899" max="5909" width="8.125" customWidth="1"/>
    <col min="5910" max="5910" width="4.5" customWidth="1"/>
    <col min="5911" max="5912" width="7.5" customWidth="1"/>
    <col min="5913" max="5913" width="9.625" customWidth="1"/>
    <col min="6145" max="6145" width="9.125" customWidth="1"/>
    <col min="6146" max="6146" width="3.125" customWidth="1"/>
    <col min="6147" max="6147" width="10" customWidth="1"/>
    <col min="6148" max="6148" width="4.625" customWidth="1"/>
    <col min="6149" max="6149" width="8.625" customWidth="1"/>
    <col min="6150" max="6151" width="4.375" customWidth="1"/>
    <col min="6152" max="6154" width="6" customWidth="1"/>
    <col min="6155" max="6165" width="8.125" customWidth="1"/>
    <col min="6166" max="6166" width="4.5" customWidth="1"/>
    <col min="6167" max="6168" width="7.5" customWidth="1"/>
    <col min="6169" max="6169" width="9.625" customWidth="1"/>
    <col min="6401" max="6401" width="9.125" customWidth="1"/>
    <col min="6402" max="6402" width="3.125" customWidth="1"/>
    <col min="6403" max="6403" width="10" customWidth="1"/>
    <col min="6404" max="6404" width="4.625" customWidth="1"/>
    <col min="6405" max="6405" width="8.625" customWidth="1"/>
    <col min="6406" max="6407" width="4.375" customWidth="1"/>
    <col min="6408" max="6410" width="6" customWidth="1"/>
    <col min="6411" max="6421" width="8.125" customWidth="1"/>
    <col min="6422" max="6422" width="4.5" customWidth="1"/>
    <col min="6423" max="6424" width="7.5" customWidth="1"/>
    <col min="6425" max="6425" width="9.625" customWidth="1"/>
    <col min="6657" max="6657" width="9.125" customWidth="1"/>
    <col min="6658" max="6658" width="3.125" customWidth="1"/>
    <col min="6659" max="6659" width="10" customWidth="1"/>
    <col min="6660" max="6660" width="4.625" customWidth="1"/>
    <col min="6661" max="6661" width="8.625" customWidth="1"/>
    <col min="6662" max="6663" width="4.375" customWidth="1"/>
    <col min="6664" max="6666" width="6" customWidth="1"/>
    <col min="6667" max="6677" width="8.125" customWidth="1"/>
    <col min="6678" max="6678" width="4.5" customWidth="1"/>
    <col min="6679" max="6680" width="7.5" customWidth="1"/>
    <col min="6681" max="6681" width="9.625" customWidth="1"/>
    <col min="6913" max="6913" width="9.125" customWidth="1"/>
    <col min="6914" max="6914" width="3.125" customWidth="1"/>
    <col min="6915" max="6915" width="10" customWidth="1"/>
    <col min="6916" max="6916" width="4.625" customWidth="1"/>
    <col min="6917" max="6917" width="8.625" customWidth="1"/>
    <col min="6918" max="6919" width="4.375" customWidth="1"/>
    <col min="6920" max="6922" width="6" customWidth="1"/>
    <col min="6923" max="6933" width="8.125" customWidth="1"/>
    <col min="6934" max="6934" width="4.5" customWidth="1"/>
    <col min="6935" max="6936" width="7.5" customWidth="1"/>
    <col min="6937" max="6937" width="9.625" customWidth="1"/>
    <col min="7169" max="7169" width="9.125" customWidth="1"/>
    <col min="7170" max="7170" width="3.125" customWidth="1"/>
    <col min="7171" max="7171" width="10" customWidth="1"/>
    <col min="7172" max="7172" width="4.625" customWidth="1"/>
    <col min="7173" max="7173" width="8.625" customWidth="1"/>
    <col min="7174" max="7175" width="4.375" customWidth="1"/>
    <col min="7176" max="7178" width="6" customWidth="1"/>
    <col min="7179" max="7189" width="8.125" customWidth="1"/>
    <col min="7190" max="7190" width="4.5" customWidth="1"/>
    <col min="7191" max="7192" width="7.5" customWidth="1"/>
    <col min="7193" max="7193" width="9.625" customWidth="1"/>
    <col min="7425" max="7425" width="9.125" customWidth="1"/>
    <col min="7426" max="7426" width="3.125" customWidth="1"/>
    <col min="7427" max="7427" width="10" customWidth="1"/>
    <col min="7428" max="7428" width="4.625" customWidth="1"/>
    <col min="7429" max="7429" width="8.625" customWidth="1"/>
    <col min="7430" max="7431" width="4.375" customWidth="1"/>
    <col min="7432" max="7434" width="6" customWidth="1"/>
    <col min="7435" max="7445" width="8.125" customWidth="1"/>
    <col min="7446" max="7446" width="4.5" customWidth="1"/>
    <col min="7447" max="7448" width="7.5" customWidth="1"/>
    <col min="7449" max="7449" width="9.625" customWidth="1"/>
    <col min="7681" max="7681" width="9.125" customWidth="1"/>
    <col min="7682" max="7682" width="3.125" customWidth="1"/>
    <col min="7683" max="7683" width="10" customWidth="1"/>
    <col min="7684" max="7684" width="4.625" customWidth="1"/>
    <col min="7685" max="7685" width="8.625" customWidth="1"/>
    <col min="7686" max="7687" width="4.375" customWidth="1"/>
    <col min="7688" max="7690" width="6" customWidth="1"/>
    <col min="7691" max="7701" width="8.125" customWidth="1"/>
    <col min="7702" max="7702" width="4.5" customWidth="1"/>
    <col min="7703" max="7704" width="7.5" customWidth="1"/>
    <col min="7705" max="7705" width="9.625" customWidth="1"/>
    <col min="7937" max="7937" width="9.125" customWidth="1"/>
    <col min="7938" max="7938" width="3.125" customWidth="1"/>
    <col min="7939" max="7939" width="10" customWidth="1"/>
    <col min="7940" max="7940" width="4.625" customWidth="1"/>
    <col min="7941" max="7941" width="8.625" customWidth="1"/>
    <col min="7942" max="7943" width="4.375" customWidth="1"/>
    <col min="7944" max="7946" width="6" customWidth="1"/>
    <col min="7947" max="7957" width="8.125" customWidth="1"/>
    <col min="7958" max="7958" width="4.5" customWidth="1"/>
    <col min="7959" max="7960" width="7.5" customWidth="1"/>
    <col min="7961" max="7961" width="9.625" customWidth="1"/>
    <col min="8193" max="8193" width="9.125" customWidth="1"/>
    <col min="8194" max="8194" width="3.125" customWidth="1"/>
    <col min="8195" max="8195" width="10" customWidth="1"/>
    <col min="8196" max="8196" width="4.625" customWidth="1"/>
    <col min="8197" max="8197" width="8.625" customWidth="1"/>
    <col min="8198" max="8199" width="4.375" customWidth="1"/>
    <col min="8200" max="8202" width="6" customWidth="1"/>
    <col min="8203" max="8213" width="8.125" customWidth="1"/>
    <col min="8214" max="8214" width="4.5" customWidth="1"/>
    <col min="8215" max="8216" width="7.5" customWidth="1"/>
    <col min="8217" max="8217" width="9.625" customWidth="1"/>
    <col min="8449" max="8449" width="9.125" customWidth="1"/>
    <col min="8450" max="8450" width="3.125" customWidth="1"/>
    <col min="8451" max="8451" width="10" customWidth="1"/>
    <col min="8452" max="8452" width="4.625" customWidth="1"/>
    <col min="8453" max="8453" width="8.625" customWidth="1"/>
    <col min="8454" max="8455" width="4.375" customWidth="1"/>
    <col min="8456" max="8458" width="6" customWidth="1"/>
    <col min="8459" max="8469" width="8.125" customWidth="1"/>
    <col min="8470" max="8470" width="4.5" customWidth="1"/>
    <col min="8471" max="8472" width="7.5" customWidth="1"/>
    <col min="8473" max="8473" width="9.625" customWidth="1"/>
    <col min="8705" max="8705" width="9.125" customWidth="1"/>
    <col min="8706" max="8706" width="3.125" customWidth="1"/>
    <col min="8707" max="8707" width="10" customWidth="1"/>
    <col min="8708" max="8708" width="4.625" customWidth="1"/>
    <col min="8709" max="8709" width="8.625" customWidth="1"/>
    <col min="8710" max="8711" width="4.375" customWidth="1"/>
    <col min="8712" max="8714" width="6" customWidth="1"/>
    <col min="8715" max="8725" width="8.125" customWidth="1"/>
    <col min="8726" max="8726" width="4.5" customWidth="1"/>
    <col min="8727" max="8728" width="7.5" customWidth="1"/>
    <col min="8729" max="8729" width="9.625" customWidth="1"/>
    <col min="8961" max="8961" width="9.125" customWidth="1"/>
    <col min="8962" max="8962" width="3.125" customWidth="1"/>
    <col min="8963" max="8963" width="10" customWidth="1"/>
    <col min="8964" max="8964" width="4.625" customWidth="1"/>
    <col min="8965" max="8965" width="8.625" customWidth="1"/>
    <col min="8966" max="8967" width="4.375" customWidth="1"/>
    <col min="8968" max="8970" width="6" customWidth="1"/>
    <col min="8971" max="8981" width="8.125" customWidth="1"/>
    <col min="8982" max="8982" width="4.5" customWidth="1"/>
    <col min="8983" max="8984" width="7.5" customWidth="1"/>
    <col min="8985" max="8985" width="9.625" customWidth="1"/>
    <col min="9217" max="9217" width="9.125" customWidth="1"/>
    <col min="9218" max="9218" width="3.125" customWidth="1"/>
    <col min="9219" max="9219" width="10" customWidth="1"/>
    <col min="9220" max="9220" width="4.625" customWidth="1"/>
    <col min="9221" max="9221" width="8.625" customWidth="1"/>
    <col min="9222" max="9223" width="4.375" customWidth="1"/>
    <col min="9224" max="9226" width="6" customWidth="1"/>
    <col min="9227" max="9237" width="8.125" customWidth="1"/>
    <col min="9238" max="9238" width="4.5" customWidth="1"/>
    <col min="9239" max="9240" width="7.5" customWidth="1"/>
    <col min="9241" max="9241" width="9.625" customWidth="1"/>
    <col min="9473" max="9473" width="9.125" customWidth="1"/>
    <col min="9474" max="9474" width="3.125" customWidth="1"/>
    <col min="9475" max="9475" width="10" customWidth="1"/>
    <col min="9476" max="9476" width="4.625" customWidth="1"/>
    <col min="9477" max="9477" width="8.625" customWidth="1"/>
    <col min="9478" max="9479" width="4.375" customWidth="1"/>
    <col min="9480" max="9482" width="6" customWidth="1"/>
    <col min="9483" max="9493" width="8.125" customWidth="1"/>
    <col min="9494" max="9494" width="4.5" customWidth="1"/>
    <col min="9495" max="9496" width="7.5" customWidth="1"/>
    <col min="9497" max="9497" width="9.625" customWidth="1"/>
    <col min="9729" max="9729" width="9.125" customWidth="1"/>
    <col min="9730" max="9730" width="3.125" customWidth="1"/>
    <col min="9731" max="9731" width="10" customWidth="1"/>
    <col min="9732" max="9732" width="4.625" customWidth="1"/>
    <col min="9733" max="9733" width="8.625" customWidth="1"/>
    <col min="9734" max="9735" width="4.375" customWidth="1"/>
    <col min="9736" max="9738" width="6" customWidth="1"/>
    <col min="9739" max="9749" width="8.125" customWidth="1"/>
    <col min="9750" max="9750" width="4.5" customWidth="1"/>
    <col min="9751" max="9752" width="7.5" customWidth="1"/>
    <col min="9753" max="9753" width="9.625" customWidth="1"/>
    <col min="9985" max="9985" width="9.125" customWidth="1"/>
    <col min="9986" max="9986" width="3.125" customWidth="1"/>
    <col min="9987" max="9987" width="10" customWidth="1"/>
    <col min="9988" max="9988" width="4.625" customWidth="1"/>
    <col min="9989" max="9989" width="8.625" customWidth="1"/>
    <col min="9990" max="9991" width="4.375" customWidth="1"/>
    <col min="9992" max="9994" width="6" customWidth="1"/>
    <col min="9995" max="10005" width="8.125" customWidth="1"/>
    <col min="10006" max="10006" width="4.5" customWidth="1"/>
    <col min="10007" max="10008" width="7.5" customWidth="1"/>
    <col min="10009" max="10009" width="9.625" customWidth="1"/>
    <col min="10241" max="10241" width="9.125" customWidth="1"/>
    <col min="10242" max="10242" width="3.125" customWidth="1"/>
    <col min="10243" max="10243" width="10" customWidth="1"/>
    <col min="10244" max="10244" width="4.625" customWidth="1"/>
    <col min="10245" max="10245" width="8.625" customWidth="1"/>
    <col min="10246" max="10247" width="4.375" customWidth="1"/>
    <col min="10248" max="10250" width="6" customWidth="1"/>
    <col min="10251" max="10261" width="8.125" customWidth="1"/>
    <col min="10262" max="10262" width="4.5" customWidth="1"/>
    <col min="10263" max="10264" width="7.5" customWidth="1"/>
    <col min="10265" max="10265" width="9.625" customWidth="1"/>
    <col min="10497" max="10497" width="9.125" customWidth="1"/>
    <col min="10498" max="10498" width="3.125" customWidth="1"/>
    <col min="10499" max="10499" width="10" customWidth="1"/>
    <col min="10500" max="10500" width="4.625" customWidth="1"/>
    <col min="10501" max="10501" width="8.625" customWidth="1"/>
    <col min="10502" max="10503" width="4.375" customWidth="1"/>
    <col min="10504" max="10506" width="6" customWidth="1"/>
    <col min="10507" max="10517" width="8.125" customWidth="1"/>
    <col min="10518" max="10518" width="4.5" customWidth="1"/>
    <col min="10519" max="10520" width="7.5" customWidth="1"/>
    <col min="10521" max="10521" width="9.625" customWidth="1"/>
    <col min="10753" max="10753" width="9.125" customWidth="1"/>
    <col min="10754" max="10754" width="3.125" customWidth="1"/>
    <col min="10755" max="10755" width="10" customWidth="1"/>
    <col min="10756" max="10756" width="4.625" customWidth="1"/>
    <col min="10757" max="10757" width="8.625" customWidth="1"/>
    <col min="10758" max="10759" width="4.375" customWidth="1"/>
    <col min="10760" max="10762" width="6" customWidth="1"/>
    <col min="10763" max="10773" width="8.125" customWidth="1"/>
    <col min="10774" max="10774" width="4.5" customWidth="1"/>
    <col min="10775" max="10776" width="7.5" customWidth="1"/>
    <col min="10777" max="10777" width="9.625" customWidth="1"/>
    <col min="11009" max="11009" width="9.125" customWidth="1"/>
    <col min="11010" max="11010" width="3.125" customWidth="1"/>
    <col min="11011" max="11011" width="10" customWidth="1"/>
    <col min="11012" max="11012" width="4.625" customWidth="1"/>
    <col min="11013" max="11013" width="8.625" customWidth="1"/>
    <col min="11014" max="11015" width="4.375" customWidth="1"/>
    <col min="11016" max="11018" width="6" customWidth="1"/>
    <col min="11019" max="11029" width="8.125" customWidth="1"/>
    <col min="11030" max="11030" width="4.5" customWidth="1"/>
    <col min="11031" max="11032" width="7.5" customWidth="1"/>
    <col min="11033" max="11033" width="9.625" customWidth="1"/>
    <col min="11265" max="11265" width="9.125" customWidth="1"/>
    <col min="11266" max="11266" width="3.125" customWidth="1"/>
    <col min="11267" max="11267" width="10" customWidth="1"/>
    <col min="11268" max="11268" width="4.625" customWidth="1"/>
    <col min="11269" max="11269" width="8.625" customWidth="1"/>
    <col min="11270" max="11271" width="4.375" customWidth="1"/>
    <col min="11272" max="11274" width="6" customWidth="1"/>
    <col min="11275" max="11285" width="8.125" customWidth="1"/>
    <col min="11286" max="11286" width="4.5" customWidth="1"/>
    <col min="11287" max="11288" width="7.5" customWidth="1"/>
    <col min="11289" max="11289" width="9.625" customWidth="1"/>
    <col min="11521" max="11521" width="9.125" customWidth="1"/>
    <col min="11522" max="11522" width="3.125" customWidth="1"/>
    <col min="11523" max="11523" width="10" customWidth="1"/>
    <col min="11524" max="11524" width="4.625" customWidth="1"/>
    <col min="11525" max="11525" width="8.625" customWidth="1"/>
    <col min="11526" max="11527" width="4.375" customWidth="1"/>
    <col min="11528" max="11530" width="6" customWidth="1"/>
    <col min="11531" max="11541" width="8.125" customWidth="1"/>
    <col min="11542" max="11542" width="4.5" customWidth="1"/>
    <col min="11543" max="11544" width="7.5" customWidth="1"/>
    <col min="11545" max="11545" width="9.625" customWidth="1"/>
    <col min="11777" max="11777" width="9.125" customWidth="1"/>
    <col min="11778" max="11778" width="3.125" customWidth="1"/>
    <col min="11779" max="11779" width="10" customWidth="1"/>
    <col min="11780" max="11780" width="4.625" customWidth="1"/>
    <col min="11781" max="11781" width="8.625" customWidth="1"/>
    <col min="11782" max="11783" width="4.375" customWidth="1"/>
    <col min="11784" max="11786" width="6" customWidth="1"/>
    <col min="11787" max="11797" width="8.125" customWidth="1"/>
    <col min="11798" max="11798" width="4.5" customWidth="1"/>
    <col min="11799" max="11800" width="7.5" customWidth="1"/>
    <col min="11801" max="11801" width="9.625" customWidth="1"/>
    <col min="12033" max="12033" width="9.125" customWidth="1"/>
    <col min="12034" max="12034" width="3.125" customWidth="1"/>
    <col min="12035" max="12035" width="10" customWidth="1"/>
    <col min="12036" max="12036" width="4.625" customWidth="1"/>
    <col min="12037" max="12037" width="8.625" customWidth="1"/>
    <col min="12038" max="12039" width="4.375" customWidth="1"/>
    <col min="12040" max="12042" width="6" customWidth="1"/>
    <col min="12043" max="12053" width="8.125" customWidth="1"/>
    <col min="12054" max="12054" width="4.5" customWidth="1"/>
    <col min="12055" max="12056" width="7.5" customWidth="1"/>
    <col min="12057" max="12057" width="9.625" customWidth="1"/>
    <col min="12289" max="12289" width="9.125" customWidth="1"/>
    <col min="12290" max="12290" width="3.125" customWidth="1"/>
    <col min="12291" max="12291" width="10" customWidth="1"/>
    <col min="12292" max="12292" width="4.625" customWidth="1"/>
    <col min="12293" max="12293" width="8.625" customWidth="1"/>
    <col min="12294" max="12295" width="4.375" customWidth="1"/>
    <col min="12296" max="12298" width="6" customWidth="1"/>
    <col min="12299" max="12309" width="8.125" customWidth="1"/>
    <col min="12310" max="12310" width="4.5" customWidth="1"/>
    <col min="12311" max="12312" width="7.5" customWidth="1"/>
    <col min="12313" max="12313" width="9.625" customWidth="1"/>
    <col min="12545" max="12545" width="9.125" customWidth="1"/>
    <col min="12546" max="12546" width="3.125" customWidth="1"/>
    <col min="12547" max="12547" width="10" customWidth="1"/>
    <col min="12548" max="12548" width="4.625" customWidth="1"/>
    <col min="12549" max="12549" width="8.625" customWidth="1"/>
    <col min="12550" max="12551" width="4.375" customWidth="1"/>
    <col min="12552" max="12554" width="6" customWidth="1"/>
    <col min="12555" max="12565" width="8.125" customWidth="1"/>
    <col min="12566" max="12566" width="4.5" customWidth="1"/>
    <col min="12567" max="12568" width="7.5" customWidth="1"/>
    <col min="12569" max="12569" width="9.625" customWidth="1"/>
    <col min="12801" max="12801" width="9.125" customWidth="1"/>
    <col min="12802" max="12802" width="3.125" customWidth="1"/>
    <col min="12803" max="12803" width="10" customWidth="1"/>
    <col min="12804" max="12804" width="4.625" customWidth="1"/>
    <col min="12805" max="12805" width="8.625" customWidth="1"/>
    <col min="12806" max="12807" width="4.375" customWidth="1"/>
    <col min="12808" max="12810" width="6" customWidth="1"/>
    <col min="12811" max="12821" width="8.125" customWidth="1"/>
    <col min="12822" max="12822" width="4.5" customWidth="1"/>
    <col min="12823" max="12824" width="7.5" customWidth="1"/>
    <col min="12825" max="12825" width="9.625" customWidth="1"/>
    <col min="13057" max="13057" width="9.125" customWidth="1"/>
    <col min="13058" max="13058" width="3.125" customWidth="1"/>
    <col min="13059" max="13059" width="10" customWidth="1"/>
    <col min="13060" max="13060" width="4.625" customWidth="1"/>
    <col min="13061" max="13061" width="8.625" customWidth="1"/>
    <col min="13062" max="13063" width="4.375" customWidth="1"/>
    <col min="13064" max="13066" width="6" customWidth="1"/>
    <col min="13067" max="13077" width="8.125" customWidth="1"/>
    <col min="13078" max="13078" width="4.5" customWidth="1"/>
    <col min="13079" max="13080" width="7.5" customWidth="1"/>
    <col min="13081" max="13081" width="9.625" customWidth="1"/>
    <col min="13313" max="13313" width="9.125" customWidth="1"/>
    <col min="13314" max="13314" width="3.125" customWidth="1"/>
    <col min="13315" max="13315" width="10" customWidth="1"/>
    <col min="13316" max="13316" width="4.625" customWidth="1"/>
    <col min="13317" max="13317" width="8.625" customWidth="1"/>
    <col min="13318" max="13319" width="4.375" customWidth="1"/>
    <col min="13320" max="13322" width="6" customWidth="1"/>
    <col min="13323" max="13333" width="8.125" customWidth="1"/>
    <col min="13334" max="13334" width="4.5" customWidth="1"/>
    <col min="13335" max="13336" width="7.5" customWidth="1"/>
    <col min="13337" max="13337" width="9.625" customWidth="1"/>
    <col min="13569" max="13569" width="9.125" customWidth="1"/>
    <col min="13570" max="13570" width="3.125" customWidth="1"/>
    <col min="13571" max="13571" width="10" customWidth="1"/>
    <col min="13572" max="13572" width="4.625" customWidth="1"/>
    <col min="13573" max="13573" width="8.625" customWidth="1"/>
    <col min="13574" max="13575" width="4.375" customWidth="1"/>
    <col min="13576" max="13578" width="6" customWidth="1"/>
    <col min="13579" max="13589" width="8.125" customWidth="1"/>
    <col min="13590" max="13590" width="4.5" customWidth="1"/>
    <col min="13591" max="13592" width="7.5" customWidth="1"/>
    <col min="13593" max="13593" width="9.625" customWidth="1"/>
    <col min="13825" max="13825" width="9.125" customWidth="1"/>
    <col min="13826" max="13826" width="3.125" customWidth="1"/>
    <col min="13827" max="13827" width="10" customWidth="1"/>
    <col min="13828" max="13828" width="4.625" customWidth="1"/>
    <col min="13829" max="13829" width="8.625" customWidth="1"/>
    <col min="13830" max="13831" width="4.375" customWidth="1"/>
    <col min="13832" max="13834" width="6" customWidth="1"/>
    <col min="13835" max="13845" width="8.125" customWidth="1"/>
    <col min="13846" max="13846" width="4.5" customWidth="1"/>
    <col min="13847" max="13848" width="7.5" customWidth="1"/>
    <col min="13849" max="13849" width="9.625" customWidth="1"/>
    <col min="14081" max="14081" width="9.125" customWidth="1"/>
    <col min="14082" max="14082" width="3.125" customWidth="1"/>
    <col min="14083" max="14083" width="10" customWidth="1"/>
    <col min="14084" max="14084" width="4.625" customWidth="1"/>
    <col min="14085" max="14085" width="8.625" customWidth="1"/>
    <col min="14086" max="14087" width="4.375" customWidth="1"/>
    <col min="14088" max="14090" width="6" customWidth="1"/>
    <col min="14091" max="14101" width="8.125" customWidth="1"/>
    <col min="14102" max="14102" width="4.5" customWidth="1"/>
    <col min="14103" max="14104" width="7.5" customWidth="1"/>
    <col min="14105" max="14105" width="9.625" customWidth="1"/>
    <col min="14337" max="14337" width="9.125" customWidth="1"/>
    <col min="14338" max="14338" width="3.125" customWidth="1"/>
    <col min="14339" max="14339" width="10" customWidth="1"/>
    <col min="14340" max="14340" width="4.625" customWidth="1"/>
    <col min="14341" max="14341" width="8.625" customWidth="1"/>
    <col min="14342" max="14343" width="4.375" customWidth="1"/>
    <col min="14344" max="14346" width="6" customWidth="1"/>
    <col min="14347" max="14357" width="8.125" customWidth="1"/>
    <col min="14358" max="14358" width="4.5" customWidth="1"/>
    <col min="14359" max="14360" width="7.5" customWidth="1"/>
    <col min="14361" max="14361" width="9.625" customWidth="1"/>
    <col min="14593" max="14593" width="9.125" customWidth="1"/>
    <col min="14594" max="14594" width="3.125" customWidth="1"/>
    <col min="14595" max="14595" width="10" customWidth="1"/>
    <col min="14596" max="14596" width="4.625" customWidth="1"/>
    <col min="14597" max="14597" width="8.625" customWidth="1"/>
    <col min="14598" max="14599" width="4.375" customWidth="1"/>
    <col min="14600" max="14602" width="6" customWidth="1"/>
    <col min="14603" max="14613" width="8.125" customWidth="1"/>
    <col min="14614" max="14614" width="4.5" customWidth="1"/>
    <col min="14615" max="14616" width="7.5" customWidth="1"/>
    <col min="14617" max="14617" width="9.625" customWidth="1"/>
    <col min="14849" max="14849" width="9.125" customWidth="1"/>
    <col min="14850" max="14850" width="3.125" customWidth="1"/>
    <col min="14851" max="14851" width="10" customWidth="1"/>
    <col min="14852" max="14852" width="4.625" customWidth="1"/>
    <col min="14853" max="14853" width="8.625" customWidth="1"/>
    <col min="14854" max="14855" width="4.375" customWidth="1"/>
    <col min="14856" max="14858" width="6" customWidth="1"/>
    <col min="14859" max="14869" width="8.125" customWidth="1"/>
    <col min="14870" max="14870" width="4.5" customWidth="1"/>
    <col min="14871" max="14872" width="7.5" customWidth="1"/>
    <col min="14873" max="14873" width="9.625" customWidth="1"/>
    <col min="15105" max="15105" width="9.125" customWidth="1"/>
    <col min="15106" max="15106" width="3.125" customWidth="1"/>
    <col min="15107" max="15107" width="10" customWidth="1"/>
    <col min="15108" max="15108" width="4.625" customWidth="1"/>
    <col min="15109" max="15109" width="8.625" customWidth="1"/>
    <col min="15110" max="15111" width="4.375" customWidth="1"/>
    <col min="15112" max="15114" width="6" customWidth="1"/>
    <col min="15115" max="15125" width="8.125" customWidth="1"/>
    <col min="15126" max="15126" width="4.5" customWidth="1"/>
    <col min="15127" max="15128" width="7.5" customWidth="1"/>
    <col min="15129" max="15129" width="9.625" customWidth="1"/>
    <col min="15361" max="15361" width="9.125" customWidth="1"/>
    <col min="15362" max="15362" width="3.125" customWidth="1"/>
    <col min="15363" max="15363" width="10" customWidth="1"/>
    <col min="15364" max="15364" width="4.625" customWidth="1"/>
    <col min="15365" max="15365" width="8.625" customWidth="1"/>
    <col min="15366" max="15367" width="4.375" customWidth="1"/>
    <col min="15368" max="15370" width="6" customWidth="1"/>
    <col min="15371" max="15381" width="8.125" customWidth="1"/>
    <col min="15382" max="15382" width="4.5" customWidth="1"/>
    <col min="15383" max="15384" width="7.5" customWidth="1"/>
    <col min="15385" max="15385" width="9.625" customWidth="1"/>
    <col min="15617" max="15617" width="9.125" customWidth="1"/>
    <col min="15618" max="15618" width="3.125" customWidth="1"/>
    <col min="15619" max="15619" width="10" customWidth="1"/>
    <col min="15620" max="15620" width="4.625" customWidth="1"/>
    <col min="15621" max="15621" width="8.625" customWidth="1"/>
    <col min="15622" max="15623" width="4.375" customWidth="1"/>
    <col min="15624" max="15626" width="6" customWidth="1"/>
    <col min="15627" max="15637" width="8.125" customWidth="1"/>
    <col min="15638" max="15638" width="4.5" customWidth="1"/>
    <col min="15639" max="15640" width="7.5" customWidth="1"/>
    <col min="15641" max="15641" width="9.625" customWidth="1"/>
    <col min="15873" max="15873" width="9.125" customWidth="1"/>
    <col min="15874" max="15874" width="3.125" customWidth="1"/>
    <col min="15875" max="15875" width="10" customWidth="1"/>
    <col min="15876" max="15876" width="4.625" customWidth="1"/>
    <col min="15877" max="15877" width="8.625" customWidth="1"/>
    <col min="15878" max="15879" width="4.375" customWidth="1"/>
    <col min="15880" max="15882" width="6" customWidth="1"/>
    <col min="15883" max="15893" width="8.125" customWidth="1"/>
    <col min="15894" max="15894" width="4.5" customWidth="1"/>
    <col min="15895" max="15896" width="7.5" customWidth="1"/>
    <col min="15897" max="15897" width="9.625" customWidth="1"/>
    <col min="16129" max="16129" width="9.125" customWidth="1"/>
    <col min="16130" max="16130" width="3.125" customWidth="1"/>
    <col min="16131" max="16131" width="10" customWidth="1"/>
    <col min="16132" max="16132" width="4.625" customWidth="1"/>
    <col min="16133" max="16133" width="8.625" customWidth="1"/>
    <col min="16134" max="16135" width="4.375" customWidth="1"/>
    <col min="16136" max="16138" width="6" customWidth="1"/>
    <col min="16139" max="16149" width="8.125" customWidth="1"/>
    <col min="16150" max="16150" width="4.5" customWidth="1"/>
    <col min="16151" max="16152" width="7.5" customWidth="1"/>
    <col min="16153" max="16153" width="9.625" customWidth="1"/>
  </cols>
  <sheetData>
    <row r="1" spans="1:25" ht="11.25" customHeight="1" x14ac:dyDescent="0.15">
      <c r="A1" s="34" t="s">
        <v>33</v>
      </c>
      <c r="B1" s="396" t="s">
        <v>34</v>
      </c>
      <c r="C1" s="396"/>
      <c r="D1" s="396"/>
      <c r="E1" s="397">
        <f ca="1">TODAY()</f>
        <v>45492</v>
      </c>
      <c r="F1" s="397"/>
      <c r="G1" s="397"/>
      <c r="L1" s="398" t="s">
        <v>35</v>
      </c>
      <c r="M1" s="398"/>
      <c r="N1" s="398"/>
      <c r="O1" s="398"/>
    </row>
    <row r="2" spans="1:25" ht="11.25" customHeight="1" x14ac:dyDescent="0.15">
      <c r="A2" s="399">
        <v>37594</v>
      </c>
      <c r="B2" s="399"/>
      <c r="C2" s="399"/>
      <c r="D2" s="399"/>
      <c r="E2" s="399"/>
      <c r="F2" s="399"/>
      <c r="G2" s="399"/>
      <c r="H2" s="399"/>
      <c r="I2" s="399"/>
      <c r="J2" s="399"/>
      <c r="K2" s="399"/>
      <c r="L2" s="399"/>
      <c r="M2" s="399"/>
      <c r="N2" s="399"/>
      <c r="O2" s="399"/>
      <c r="P2" s="399"/>
      <c r="Q2" s="399"/>
      <c r="R2" s="399"/>
      <c r="S2" s="399"/>
      <c r="T2" s="399"/>
      <c r="U2" s="399"/>
      <c r="V2" s="399"/>
      <c r="W2" s="399"/>
      <c r="X2" s="399"/>
      <c r="Y2" s="399"/>
    </row>
    <row r="3" spans="1:25" ht="11.25" customHeight="1" x14ac:dyDescent="0.15">
      <c r="A3" s="36" t="s">
        <v>36</v>
      </c>
      <c r="B3" s="400" t="s">
        <v>37</v>
      </c>
      <c r="C3" s="402" t="s">
        <v>38</v>
      </c>
      <c r="D3" s="404" t="s">
        <v>39</v>
      </c>
      <c r="E3" s="402" t="s">
        <v>40</v>
      </c>
      <c r="F3" s="406" t="s">
        <v>24</v>
      </c>
      <c r="G3" s="407"/>
      <c r="H3" s="389" t="s">
        <v>41</v>
      </c>
      <c r="I3" s="395" t="s">
        <v>42</v>
      </c>
      <c r="J3" s="395" t="s">
        <v>43</v>
      </c>
      <c r="K3" s="395" t="s">
        <v>44</v>
      </c>
      <c r="L3" s="408" t="s">
        <v>45</v>
      </c>
      <c r="M3" s="409"/>
      <c r="N3" s="395" t="s">
        <v>46</v>
      </c>
      <c r="O3" s="395" t="s">
        <v>47</v>
      </c>
      <c r="P3" s="395" t="s">
        <v>48</v>
      </c>
      <c r="Q3" s="395" t="s">
        <v>49</v>
      </c>
      <c r="R3" s="395" t="s">
        <v>50</v>
      </c>
      <c r="S3" s="395" t="s">
        <v>51</v>
      </c>
      <c r="T3" s="395" t="s">
        <v>52</v>
      </c>
      <c r="U3" s="389" t="s">
        <v>53</v>
      </c>
      <c r="V3" s="389" t="s">
        <v>54</v>
      </c>
      <c r="W3" s="391" t="s">
        <v>55</v>
      </c>
      <c r="X3" s="393" t="s">
        <v>56</v>
      </c>
      <c r="Y3" s="393" t="s">
        <v>57</v>
      </c>
    </row>
    <row r="4" spans="1:25" ht="11.25" customHeight="1" x14ac:dyDescent="0.15">
      <c r="A4" s="37" t="s">
        <v>58</v>
      </c>
      <c r="B4" s="401"/>
      <c r="C4" s="403"/>
      <c r="D4" s="405"/>
      <c r="E4" s="403"/>
      <c r="F4" s="38" t="s">
        <v>19</v>
      </c>
      <c r="G4" s="38" t="s">
        <v>20</v>
      </c>
      <c r="H4" s="390"/>
      <c r="I4" s="392"/>
      <c r="J4" s="392"/>
      <c r="K4" s="392"/>
      <c r="L4" s="39" t="s">
        <v>59</v>
      </c>
      <c r="M4" s="39" t="s">
        <v>60</v>
      </c>
      <c r="N4" s="392"/>
      <c r="O4" s="392"/>
      <c r="P4" s="392"/>
      <c r="Q4" s="392"/>
      <c r="R4" s="392"/>
      <c r="S4" s="392"/>
      <c r="T4" s="392"/>
      <c r="U4" s="390"/>
      <c r="V4" s="390"/>
      <c r="W4" s="392"/>
      <c r="X4" s="394"/>
      <c r="Y4" s="394"/>
    </row>
  </sheetData>
  <mergeCells count="26">
    <mergeCell ref="O3:O4"/>
    <mergeCell ref="B1:D1"/>
    <mergeCell ref="E1:G1"/>
    <mergeCell ref="L1:O1"/>
    <mergeCell ref="A2:Y2"/>
    <mergeCell ref="B3:B4"/>
    <mergeCell ref="C3:C4"/>
    <mergeCell ref="D3:D4"/>
    <mergeCell ref="E3:E4"/>
    <mergeCell ref="F3:G3"/>
    <mergeCell ref="H3:H4"/>
    <mergeCell ref="I3:I4"/>
    <mergeCell ref="J3:J4"/>
    <mergeCell ref="K3:K4"/>
    <mergeCell ref="L3:M3"/>
    <mergeCell ref="N3:N4"/>
    <mergeCell ref="V3:V4"/>
    <mergeCell ref="W3:W4"/>
    <mergeCell ref="X3:X4"/>
    <mergeCell ref="Y3:Y4"/>
    <mergeCell ref="P3:P4"/>
    <mergeCell ref="Q3:Q4"/>
    <mergeCell ref="R3:R4"/>
    <mergeCell ref="S3:S4"/>
    <mergeCell ref="T3:T4"/>
    <mergeCell ref="U3:U4"/>
  </mergeCells>
  <phoneticPr fontId="3"/>
  <pageMargins left="0.43307086614173229" right="0" top="0.51181102362204722" bottom="0.39370078740157483" header="0.31496062992125984" footer="0.19685039370078741"/>
  <pageSetup paperSize="9" scale="79" orientation="landscape" r:id="rId1"/>
  <headerFooter alignWithMargins="0">
    <oddHeader>&amp;RＮｏ．&amp;P</oddHeader>
    <oddFooter>&amp;L&amp;7★追証発生，◆ストップロス発生</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6B33B-0A17-441F-B977-A19730B2D586}">
  <sheetPr codeName="Sheet5"/>
  <dimension ref="A2:Y28"/>
  <sheetViews>
    <sheetView topLeftCell="F1" zoomScaleNormal="100" workbookViewId="0">
      <selection activeCell="X32" sqref="X32"/>
    </sheetView>
  </sheetViews>
  <sheetFormatPr defaultRowHeight="13.5" x14ac:dyDescent="0.15"/>
  <cols>
    <col min="1" max="1" width="9.125" customWidth="1"/>
    <col min="2" max="2" width="3.125" customWidth="1"/>
    <col min="3" max="3" width="10" customWidth="1"/>
    <col min="4" max="4" width="4.625" customWidth="1"/>
    <col min="5" max="5" width="8.625" style="44" customWidth="1"/>
    <col min="6" max="7" width="4.375" customWidth="1"/>
    <col min="8" max="10" width="6" customWidth="1"/>
    <col min="11" max="11" width="8.125" style="45" customWidth="1"/>
    <col min="12" max="12" width="8.125" style="46" customWidth="1"/>
    <col min="13" max="13" width="8.125" customWidth="1"/>
    <col min="14" max="14" width="8.125" style="46" customWidth="1"/>
    <col min="15" max="19" width="8.125" customWidth="1"/>
    <col min="20" max="21" width="8.125" style="46" customWidth="1"/>
    <col min="22" max="22" width="4.5" customWidth="1"/>
    <col min="23" max="24" width="7.5" customWidth="1"/>
    <col min="25" max="25" width="9.625" customWidth="1"/>
    <col min="257" max="257" width="9.125" customWidth="1"/>
    <col min="258" max="258" width="3.125" customWidth="1"/>
    <col min="259" max="259" width="10" customWidth="1"/>
    <col min="260" max="260" width="4.625" customWidth="1"/>
    <col min="261" max="261" width="8.625" customWidth="1"/>
    <col min="262" max="263" width="4.375" customWidth="1"/>
    <col min="264" max="266" width="6" customWidth="1"/>
    <col min="267" max="277" width="8.125" customWidth="1"/>
    <col min="278" max="278" width="4.5" customWidth="1"/>
    <col min="279" max="280" width="7.5" customWidth="1"/>
    <col min="281" max="281" width="9.625" customWidth="1"/>
    <col min="513" max="513" width="9.125" customWidth="1"/>
    <col min="514" max="514" width="3.125" customWidth="1"/>
    <col min="515" max="515" width="10" customWidth="1"/>
    <col min="516" max="516" width="4.625" customWidth="1"/>
    <col min="517" max="517" width="8.625" customWidth="1"/>
    <col min="518" max="519" width="4.375" customWidth="1"/>
    <col min="520" max="522" width="6" customWidth="1"/>
    <col min="523" max="533" width="8.125" customWidth="1"/>
    <col min="534" max="534" width="4.5" customWidth="1"/>
    <col min="535" max="536" width="7.5" customWidth="1"/>
    <col min="537" max="537" width="9.625" customWidth="1"/>
    <col min="769" max="769" width="9.125" customWidth="1"/>
    <col min="770" max="770" width="3.125" customWidth="1"/>
    <col min="771" max="771" width="10" customWidth="1"/>
    <col min="772" max="772" width="4.625" customWidth="1"/>
    <col min="773" max="773" width="8.625" customWidth="1"/>
    <col min="774" max="775" width="4.375" customWidth="1"/>
    <col min="776" max="778" width="6" customWidth="1"/>
    <col min="779" max="789" width="8.125" customWidth="1"/>
    <col min="790" max="790" width="4.5" customWidth="1"/>
    <col min="791" max="792" width="7.5" customWidth="1"/>
    <col min="793" max="793" width="9.625" customWidth="1"/>
    <col min="1025" max="1025" width="9.125" customWidth="1"/>
    <col min="1026" max="1026" width="3.125" customWidth="1"/>
    <col min="1027" max="1027" width="10" customWidth="1"/>
    <col min="1028" max="1028" width="4.625" customWidth="1"/>
    <col min="1029" max="1029" width="8.625" customWidth="1"/>
    <col min="1030" max="1031" width="4.375" customWidth="1"/>
    <col min="1032" max="1034" width="6" customWidth="1"/>
    <col min="1035" max="1045" width="8.125" customWidth="1"/>
    <col min="1046" max="1046" width="4.5" customWidth="1"/>
    <col min="1047" max="1048" width="7.5" customWidth="1"/>
    <col min="1049" max="1049" width="9.625" customWidth="1"/>
    <col min="1281" max="1281" width="9.125" customWidth="1"/>
    <col min="1282" max="1282" width="3.125" customWidth="1"/>
    <col min="1283" max="1283" width="10" customWidth="1"/>
    <col min="1284" max="1284" width="4.625" customWidth="1"/>
    <col min="1285" max="1285" width="8.625" customWidth="1"/>
    <col min="1286" max="1287" width="4.375" customWidth="1"/>
    <col min="1288" max="1290" width="6" customWidth="1"/>
    <col min="1291" max="1301" width="8.125" customWidth="1"/>
    <col min="1302" max="1302" width="4.5" customWidth="1"/>
    <col min="1303" max="1304" width="7.5" customWidth="1"/>
    <col min="1305" max="1305" width="9.625" customWidth="1"/>
    <col min="1537" max="1537" width="9.125" customWidth="1"/>
    <col min="1538" max="1538" width="3.125" customWidth="1"/>
    <col min="1539" max="1539" width="10" customWidth="1"/>
    <col min="1540" max="1540" width="4.625" customWidth="1"/>
    <col min="1541" max="1541" width="8.625" customWidth="1"/>
    <col min="1542" max="1543" width="4.375" customWidth="1"/>
    <col min="1544" max="1546" width="6" customWidth="1"/>
    <col min="1547" max="1557" width="8.125" customWidth="1"/>
    <col min="1558" max="1558" width="4.5" customWidth="1"/>
    <col min="1559" max="1560" width="7.5" customWidth="1"/>
    <col min="1561" max="1561" width="9.625" customWidth="1"/>
    <col min="1793" max="1793" width="9.125" customWidth="1"/>
    <col min="1794" max="1794" width="3.125" customWidth="1"/>
    <col min="1795" max="1795" width="10" customWidth="1"/>
    <col min="1796" max="1796" width="4.625" customWidth="1"/>
    <col min="1797" max="1797" width="8.625" customWidth="1"/>
    <col min="1798" max="1799" width="4.375" customWidth="1"/>
    <col min="1800" max="1802" width="6" customWidth="1"/>
    <col min="1803" max="1813" width="8.125" customWidth="1"/>
    <col min="1814" max="1814" width="4.5" customWidth="1"/>
    <col min="1815" max="1816" width="7.5" customWidth="1"/>
    <col min="1817" max="1817" width="9.625" customWidth="1"/>
    <col min="2049" max="2049" width="9.125" customWidth="1"/>
    <col min="2050" max="2050" width="3.125" customWidth="1"/>
    <col min="2051" max="2051" width="10" customWidth="1"/>
    <col min="2052" max="2052" width="4.625" customWidth="1"/>
    <col min="2053" max="2053" width="8.625" customWidth="1"/>
    <col min="2054" max="2055" width="4.375" customWidth="1"/>
    <col min="2056" max="2058" width="6" customWidth="1"/>
    <col min="2059" max="2069" width="8.125" customWidth="1"/>
    <col min="2070" max="2070" width="4.5" customWidth="1"/>
    <col min="2071" max="2072" width="7.5" customWidth="1"/>
    <col min="2073" max="2073" width="9.625" customWidth="1"/>
    <col min="2305" max="2305" width="9.125" customWidth="1"/>
    <col min="2306" max="2306" width="3.125" customWidth="1"/>
    <col min="2307" max="2307" width="10" customWidth="1"/>
    <col min="2308" max="2308" width="4.625" customWidth="1"/>
    <col min="2309" max="2309" width="8.625" customWidth="1"/>
    <col min="2310" max="2311" width="4.375" customWidth="1"/>
    <col min="2312" max="2314" width="6" customWidth="1"/>
    <col min="2315" max="2325" width="8.125" customWidth="1"/>
    <col min="2326" max="2326" width="4.5" customWidth="1"/>
    <col min="2327" max="2328" width="7.5" customWidth="1"/>
    <col min="2329" max="2329" width="9.625" customWidth="1"/>
    <col min="2561" max="2561" width="9.125" customWidth="1"/>
    <col min="2562" max="2562" width="3.125" customWidth="1"/>
    <col min="2563" max="2563" width="10" customWidth="1"/>
    <col min="2564" max="2564" width="4.625" customWidth="1"/>
    <col min="2565" max="2565" width="8.625" customWidth="1"/>
    <col min="2566" max="2567" width="4.375" customWidth="1"/>
    <col min="2568" max="2570" width="6" customWidth="1"/>
    <col min="2571" max="2581" width="8.125" customWidth="1"/>
    <col min="2582" max="2582" width="4.5" customWidth="1"/>
    <col min="2583" max="2584" width="7.5" customWidth="1"/>
    <col min="2585" max="2585" width="9.625" customWidth="1"/>
    <col min="2817" max="2817" width="9.125" customWidth="1"/>
    <col min="2818" max="2818" width="3.125" customWidth="1"/>
    <col min="2819" max="2819" width="10" customWidth="1"/>
    <col min="2820" max="2820" width="4.625" customWidth="1"/>
    <col min="2821" max="2821" width="8.625" customWidth="1"/>
    <col min="2822" max="2823" width="4.375" customWidth="1"/>
    <col min="2824" max="2826" width="6" customWidth="1"/>
    <col min="2827" max="2837" width="8.125" customWidth="1"/>
    <col min="2838" max="2838" width="4.5" customWidth="1"/>
    <col min="2839" max="2840" width="7.5" customWidth="1"/>
    <col min="2841" max="2841" width="9.625" customWidth="1"/>
    <col min="3073" max="3073" width="9.125" customWidth="1"/>
    <col min="3074" max="3074" width="3.125" customWidth="1"/>
    <col min="3075" max="3075" width="10" customWidth="1"/>
    <col min="3076" max="3076" width="4.625" customWidth="1"/>
    <col min="3077" max="3077" width="8.625" customWidth="1"/>
    <col min="3078" max="3079" width="4.375" customWidth="1"/>
    <col min="3080" max="3082" width="6" customWidth="1"/>
    <col min="3083" max="3093" width="8.125" customWidth="1"/>
    <col min="3094" max="3094" width="4.5" customWidth="1"/>
    <col min="3095" max="3096" width="7.5" customWidth="1"/>
    <col min="3097" max="3097" width="9.625" customWidth="1"/>
    <col min="3329" max="3329" width="9.125" customWidth="1"/>
    <col min="3330" max="3330" width="3.125" customWidth="1"/>
    <col min="3331" max="3331" width="10" customWidth="1"/>
    <col min="3332" max="3332" width="4.625" customWidth="1"/>
    <col min="3333" max="3333" width="8.625" customWidth="1"/>
    <col min="3334" max="3335" width="4.375" customWidth="1"/>
    <col min="3336" max="3338" width="6" customWidth="1"/>
    <col min="3339" max="3349" width="8.125" customWidth="1"/>
    <col min="3350" max="3350" width="4.5" customWidth="1"/>
    <col min="3351" max="3352" width="7.5" customWidth="1"/>
    <col min="3353" max="3353" width="9.625" customWidth="1"/>
    <col min="3585" max="3585" width="9.125" customWidth="1"/>
    <col min="3586" max="3586" width="3.125" customWidth="1"/>
    <col min="3587" max="3587" width="10" customWidth="1"/>
    <col min="3588" max="3588" width="4.625" customWidth="1"/>
    <col min="3589" max="3589" width="8.625" customWidth="1"/>
    <col min="3590" max="3591" width="4.375" customWidth="1"/>
    <col min="3592" max="3594" width="6" customWidth="1"/>
    <col min="3595" max="3605" width="8.125" customWidth="1"/>
    <col min="3606" max="3606" width="4.5" customWidth="1"/>
    <col min="3607" max="3608" width="7.5" customWidth="1"/>
    <col min="3609" max="3609" width="9.625" customWidth="1"/>
    <col min="3841" max="3841" width="9.125" customWidth="1"/>
    <col min="3842" max="3842" width="3.125" customWidth="1"/>
    <col min="3843" max="3843" width="10" customWidth="1"/>
    <col min="3844" max="3844" width="4.625" customWidth="1"/>
    <col min="3845" max="3845" width="8.625" customWidth="1"/>
    <col min="3846" max="3847" width="4.375" customWidth="1"/>
    <col min="3848" max="3850" width="6" customWidth="1"/>
    <col min="3851" max="3861" width="8.125" customWidth="1"/>
    <col min="3862" max="3862" width="4.5" customWidth="1"/>
    <col min="3863" max="3864" width="7.5" customWidth="1"/>
    <col min="3865" max="3865" width="9.625" customWidth="1"/>
    <col min="4097" max="4097" width="9.125" customWidth="1"/>
    <col min="4098" max="4098" width="3.125" customWidth="1"/>
    <col min="4099" max="4099" width="10" customWidth="1"/>
    <col min="4100" max="4100" width="4.625" customWidth="1"/>
    <col min="4101" max="4101" width="8.625" customWidth="1"/>
    <col min="4102" max="4103" width="4.375" customWidth="1"/>
    <col min="4104" max="4106" width="6" customWidth="1"/>
    <col min="4107" max="4117" width="8.125" customWidth="1"/>
    <col min="4118" max="4118" width="4.5" customWidth="1"/>
    <col min="4119" max="4120" width="7.5" customWidth="1"/>
    <col min="4121" max="4121" width="9.625" customWidth="1"/>
    <col min="4353" max="4353" width="9.125" customWidth="1"/>
    <col min="4354" max="4354" width="3.125" customWidth="1"/>
    <col min="4355" max="4355" width="10" customWidth="1"/>
    <col min="4356" max="4356" width="4.625" customWidth="1"/>
    <col min="4357" max="4357" width="8.625" customWidth="1"/>
    <col min="4358" max="4359" width="4.375" customWidth="1"/>
    <col min="4360" max="4362" width="6" customWidth="1"/>
    <col min="4363" max="4373" width="8.125" customWidth="1"/>
    <col min="4374" max="4374" width="4.5" customWidth="1"/>
    <col min="4375" max="4376" width="7.5" customWidth="1"/>
    <col min="4377" max="4377" width="9.625" customWidth="1"/>
    <col min="4609" max="4609" width="9.125" customWidth="1"/>
    <col min="4610" max="4610" width="3.125" customWidth="1"/>
    <col min="4611" max="4611" width="10" customWidth="1"/>
    <col min="4612" max="4612" width="4.625" customWidth="1"/>
    <col min="4613" max="4613" width="8.625" customWidth="1"/>
    <col min="4614" max="4615" width="4.375" customWidth="1"/>
    <col min="4616" max="4618" width="6" customWidth="1"/>
    <col min="4619" max="4629" width="8.125" customWidth="1"/>
    <col min="4630" max="4630" width="4.5" customWidth="1"/>
    <col min="4631" max="4632" width="7.5" customWidth="1"/>
    <col min="4633" max="4633" width="9.625" customWidth="1"/>
    <col min="4865" max="4865" width="9.125" customWidth="1"/>
    <col min="4866" max="4866" width="3.125" customWidth="1"/>
    <col min="4867" max="4867" width="10" customWidth="1"/>
    <col min="4868" max="4868" width="4.625" customWidth="1"/>
    <col min="4869" max="4869" width="8.625" customWidth="1"/>
    <col min="4870" max="4871" width="4.375" customWidth="1"/>
    <col min="4872" max="4874" width="6" customWidth="1"/>
    <col min="4875" max="4885" width="8.125" customWidth="1"/>
    <col min="4886" max="4886" width="4.5" customWidth="1"/>
    <col min="4887" max="4888" width="7.5" customWidth="1"/>
    <col min="4889" max="4889" width="9.625" customWidth="1"/>
    <col min="5121" max="5121" width="9.125" customWidth="1"/>
    <col min="5122" max="5122" width="3.125" customWidth="1"/>
    <col min="5123" max="5123" width="10" customWidth="1"/>
    <col min="5124" max="5124" width="4.625" customWidth="1"/>
    <col min="5125" max="5125" width="8.625" customWidth="1"/>
    <col min="5126" max="5127" width="4.375" customWidth="1"/>
    <col min="5128" max="5130" width="6" customWidth="1"/>
    <col min="5131" max="5141" width="8.125" customWidth="1"/>
    <col min="5142" max="5142" width="4.5" customWidth="1"/>
    <col min="5143" max="5144" width="7.5" customWidth="1"/>
    <col min="5145" max="5145" width="9.625" customWidth="1"/>
    <col min="5377" max="5377" width="9.125" customWidth="1"/>
    <col min="5378" max="5378" width="3.125" customWidth="1"/>
    <col min="5379" max="5379" width="10" customWidth="1"/>
    <col min="5380" max="5380" width="4.625" customWidth="1"/>
    <col min="5381" max="5381" width="8.625" customWidth="1"/>
    <col min="5382" max="5383" width="4.375" customWidth="1"/>
    <col min="5384" max="5386" width="6" customWidth="1"/>
    <col min="5387" max="5397" width="8.125" customWidth="1"/>
    <col min="5398" max="5398" width="4.5" customWidth="1"/>
    <col min="5399" max="5400" width="7.5" customWidth="1"/>
    <col min="5401" max="5401" width="9.625" customWidth="1"/>
    <col min="5633" max="5633" width="9.125" customWidth="1"/>
    <col min="5634" max="5634" width="3.125" customWidth="1"/>
    <col min="5635" max="5635" width="10" customWidth="1"/>
    <col min="5636" max="5636" width="4.625" customWidth="1"/>
    <col min="5637" max="5637" width="8.625" customWidth="1"/>
    <col min="5638" max="5639" width="4.375" customWidth="1"/>
    <col min="5640" max="5642" width="6" customWidth="1"/>
    <col min="5643" max="5653" width="8.125" customWidth="1"/>
    <col min="5654" max="5654" width="4.5" customWidth="1"/>
    <col min="5655" max="5656" width="7.5" customWidth="1"/>
    <col min="5657" max="5657" width="9.625" customWidth="1"/>
    <col min="5889" max="5889" width="9.125" customWidth="1"/>
    <col min="5890" max="5890" width="3.125" customWidth="1"/>
    <col min="5891" max="5891" width="10" customWidth="1"/>
    <col min="5892" max="5892" width="4.625" customWidth="1"/>
    <col min="5893" max="5893" width="8.625" customWidth="1"/>
    <col min="5894" max="5895" width="4.375" customWidth="1"/>
    <col min="5896" max="5898" width="6" customWidth="1"/>
    <col min="5899" max="5909" width="8.125" customWidth="1"/>
    <col min="5910" max="5910" width="4.5" customWidth="1"/>
    <col min="5911" max="5912" width="7.5" customWidth="1"/>
    <col min="5913" max="5913" width="9.625" customWidth="1"/>
    <col min="6145" max="6145" width="9.125" customWidth="1"/>
    <col min="6146" max="6146" width="3.125" customWidth="1"/>
    <col min="6147" max="6147" width="10" customWidth="1"/>
    <col min="6148" max="6148" width="4.625" customWidth="1"/>
    <col min="6149" max="6149" width="8.625" customWidth="1"/>
    <col min="6150" max="6151" width="4.375" customWidth="1"/>
    <col min="6152" max="6154" width="6" customWidth="1"/>
    <col min="6155" max="6165" width="8.125" customWidth="1"/>
    <col min="6166" max="6166" width="4.5" customWidth="1"/>
    <col min="6167" max="6168" width="7.5" customWidth="1"/>
    <col min="6169" max="6169" width="9.625" customWidth="1"/>
    <col min="6401" max="6401" width="9.125" customWidth="1"/>
    <col min="6402" max="6402" width="3.125" customWidth="1"/>
    <col min="6403" max="6403" width="10" customWidth="1"/>
    <col min="6404" max="6404" width="4.625" customWidth="1"/>
    <col min="6405" max="6405" width="8.625" customWidth="1"/>
    <col min="6406" max="6407" width="4.375" customWidth="1"/>
    <col min="6408" max="6410" width="6" customWidth="1"/>
    <col min="6411" max="6421" width="8.125" customWidth="1"/>
    <col min="6422" max="6422" width="4.5" customWidth="1"/>
    <col min="6423" max="6424" width="7.5" customWidth="1"/>
    <col min="6425" max="6425" width="9.625" customWidth="1"/>
    <col min="6657" max="6657" width="9.125" customWidth="1"/>
    <col min="6658" max="6658" width="3.125" customWidth="1"/>
    <col min="6659" max="6659" width="10" customWidth="1"/>
    <col min="6660" max="6660" width="4.625" customWidth="1"/>
    <col min="6661" max="6661" width="8.625" customWidth="1"/>
    <col min="6662" max="6663" width="4.375" customWidth="1"/>
    <col min="6664" max="6666" width="6" customWidth="1"/>
    <col min="6667" max="6677" width="8.125" customWidth="1"/>
    <col min="6678" max="6678" width="4.5" customWidth="1"/>
    <col min="6679" max="6680" width="7.5" customWidth="1"/>
    <col min="6681" max="6681" width="9.625" customWidth="1"/>
    <col min="6913" max="6913" width="9.125" customWidth="1"/>
    <col min="6914" max="6914" width="3.125" customWidth="1"/>
    <col min="6915" max="6915" width="10" customWidth="1"/>
    <col min="6916" max="6916" width="4.625" customWidth="1"/>
    <col min="6917" max="6917" width="8.625" customWidth="1"/>
    <col min="6918" max="6919" width="4.375" customWidth="1"/>
    <col min="6920" max="6922" width="6" customWidth="1"/>
    <col min="6923" max="6933" width="8.125" customWidth="1"/>
    <col min="6934" max="6934" width="4.5" customWidth="1"/>
    <col min="6935" max="6936" width="7.5" customWidth="1"/>
    <col min="6937" max="6937" width="9.625" customWidth="1"/>
    <col min="7169" max="7169" width="9.125" customWidth="1"/>
    <col min="7170" max="7170" width="3.125" customWidth="1"/>
    <col min="7171" max="7171" width="10" customWidth="1"/>
    <col min="7172" max="7172" width="4.625" customWidth="1"/>
    <col min="7173" max="7173" width="8.625" customWidth="1"/>
    <col min="7174" max="7175" width="4.375" customWidth="1"/>
    <col min="7176" max="7178" width="6" customWidth="1"/>
    <col min="7179" max="7189" width="8.125" customWidth="1"/>
    <col min="7190" max="7190" width="4.5" customWidth="1"/>
    <col min="7191" max="7192" width="7.5" customWidth="1"/>
    <col min="7193" max="7193" width="9.625" customWidth="1"/>
    <col min="7425" max="7425" width="9.125" customWidth="1"/>
    <col min="7426" max="7426" width="3.125" customWidth="1"/>
    <col min="7427" max="7427" width="10" customWidth="1"/>
    <col min="7428" max="7428" width="4.625" customWidth="1"/>
    <col min="7429" max="7429" width="8.625" customWidth="1"/>
    <col min="7430" max="7431" width="4.375" customWidth="1"/>
    <col min="7432" max="7434" width="6" customWidth="1"/>
    <col min="7435" max="7445" width="8.125" customWidth="1"/>
    <col min="7446" max="7446" width="4.5" customWidth="1"/>
    <col min="7447" max="7448" width="7.5" customWidth="1"/>
    <col min="7449" max="7449" width="9.625" customWidth="1"/>
    <col min="7681" max="7681" width="9.125" customWidth="1"/>
    <col min="7682" max="7682" width="3.125" customWidth="1"/>
    <col min="7683" max="7683" width="10" customWidth="1"/>
    <col min="7684" max="7684" width="4.625" customWidth="1"/>
    <col min="7685" max="7685" width="8.625" customWidth="1"/>
    <col min="7686" max="7687" width="4.375" customWidth="1"/>
    <col min="7688" max="7690" width="6" customWidth="1"/>
    <col min="7691" max="7701" width="8.125" customWidth="1"/>
    <col min="7702" max="7702" width="4.5" customWidth="1"/>
    <col min="7703" max="7704" width="7.5" customWidth="1"/>
    <col min="7705" max="7705" width="9.625" customWidth="1"/>
    <col min="7937" max="7937" width="9.125" customWidth="1"/>
    <col min="7938" max="7938" width="3.125" customWidth="1"/>
    <col min="7939" max="7939" width="10" customWidth="1"/>
    <col min="7940" max="7940" width="4.625" customWidth="1"/>
    <col min="7941" max="7941" width="8.625" customWidth="1"/>
    <col min="7942" max="7943" width="4.375" customWidth="1"/>
    <col min="7944" max="7946" width="6" customWidth="1"/>
    <col min="7947" max="7957" width="8.125" customWidth="1"/>
    <col min="7958" max="7958" width="4.5" customWidth="1"/>
    <col min="7959" max="7960" width="7.5" customWidth="1"/>
    <col min="7961" max="7961" width="9.625" customWidth="1"/>
    <col min="8193" max="8193" width="9.125" customWidth="1"/>
    <col min="8194" max="8194" width="3.125" customWidth="1"/>
    <col min="8195" max="8195" width="10" customWidth="1"/>
    <col min="8196" max="8196" width="4.625" customWidth="1"/>
    <col min="8197" max="8197" width="8.625" customWidth="1"/>
    <col min="8198" max="8199" width="4.375" customWidth="1"/>
    <col min="8200" max="8202" width="6" customWidth="1"/>
    <col min="8203" max="8213" width="8.125" customWidth="1"/>
    <col min="8214" max="8214" width="4.5" customWidth="1"/>
    <col min="8215" max="8216" width="7.5" customWidth="1"/>
    <col min="8217" max="8217" width="9.625" customWidth="1"/>
    <col min="8449" max="8449" width="9.125" customWidth="1"/>
    <col min="8450" max="8450" width="3.125" customWidth="1"/>
    <col min="8451" max="8451" width="10" customWidth="1"/>
    <col min="8452" max="8452" width="4.625" customWidth="1"/>
    <col min="8453" max="8453" width="8.625" customWidth="1"/>
    <col min="8454" max="8455" width="4.375" customWidth="1"/>
    <col min="8456" max="8458" width="6" customWidth="1"/>
    <col min="8459" max="8469" width="8.125" customWidth="1"/>
    <col min="8470" max="8470" width="4.5" customWidth="1"/>
    <col min="8471" max="8472" width="7.5" customWidth="1"/>
    <col min="8473" max="8473" width="9.625" customWidth="1"/>
    <col min="8705" max="8705" width="9.125" customWidth="1"/>
    <col min="8706" max="8706" width="3.125" customWidth="1"/>
    <col min="8707" max="8707" width="10" customWidth="1"/>
    <col min="8708" max="8708" width="4.625" customWidth="1"/>
    <col min="8709" max="8709" width="8.625" customWidth="1"/>
    <col min="8710" max="8711" width="4.375" customWidth="1"/>
    <col min="8712" max="8714" width="6" customWidth="1"/>
    <col min="8715" max="8725" width="8.125" customWidth="1"/>
    <col min="8726" max="8726" width="4.5" customWidth="1"/>
    <col min="8727" max="8728" width="7.5" customWidth="1"/>
    <col min="8729" max="8729" width="9.625" customWidth="1"/>
    <col min="8961" max="8961" width="9.125" customWidth="1"/>
    <col min="8962" max="8962" width="3.125" customWidth="1"/>
    <col min="8963" max="8963" width="10" customWidth="1"/>
    <col min="8964" max="8964" width="4.625" customWidth="1"/>
    <col min="8965" max="8965" width="8.625" customWidth="1"/>
    <col min="8966" max="8967" width="4.375" customWidth="1"/>
    <col min="8968" max="8970" width="6" customWidth="1"/>
    <col min="8971" max="8981" width="8.125" customWidth="1"/>
    <col min="8982" max="8982" width="4.5" customWidth="1"/>
    <col min="8983" max="8984" width="7.5" customWidth="1"/>
    <col min="8985" max="8985" width="9.625" customWidth="1"/>
    <col min="9217" max="9217" width="9.125" customWidth="1"/>
    <col min="9218" max="9218" width="3.125" customWidth="1"/>
    <col min="9219" max="9219" width="10" customWidth="1"/>
    <col min="9220" max="9220" width="4.625" customWidth="1"/>
    <col min="9221" max="9221" width="8.625" customWidth="1"/>
    <col min="9222" max="9223" width="4.375" customWidth="1"/>
    <col min="9224" max="9226" width="6" customWidth="1"/>
    <col min="9227" max="9237" width="8.125" customWidth="1"/>
    <col min="9238" max="9238" width="4.5" customWidth="1"/>
    <col min="9239" max="9240" width="7.5" customWidth="1"/>
    <col min="9241" max="9241" width="9.625" customWidth="1"/>
    <col min="9473" max="9473" width="9.125" customWidth="1"/>
    <col min="9474" max="9474" width="3.125" customWidth="1"/>
    <col min="9475" max="9475" width="10" customWidth="1"/>
    <col min="9476" max="9476" width="4.625" customWidth="1"/>
    <col min="9477" max="9477" width="8.625" customWidth="1"/>
    <col min="9478" max="9479" width="4.375" customWidth="1"/>
    <col min="9480" max="9482" width="6" customWidth="1"/>
    <col min="9483" max="9493" width="8.125" customWidth="1"/>
    <col min="9494" max="9494" width="4.5" customWidth="1"/>
    <col min="9495" max="9496" width="7.5" customWidth="1"/>
    <col min="9497" max="9497" width="9.625" customWidth="1"/>
    <col min="9729" max="9729" width="9.125" customWidth="1"/>
    <col min="9730" max="9730" width="3.125" customWidth="1"/>
    <col min="9731" max="9731" width="10" customWidth="1"/>
    <col min="9732" max="9732" width="4.625" customWidth="1"/>
    <col min="9733" max="9733" width="8.625" customWidth="1"/>
    <col min="9734" max="9735" width="4.375" customWidth="1"/>
    <col min="9736" max="9738" width="6" customWidth="1"/>
    <col min="9739" max="9749" width="8.125" customWidth="1"/>
    <col min="9750" max="9750" width="4.5" customWidth="1"/>
    <col min="9751" max="9752" width="7.5" customWidth="1"/>
    <col min="9753" max="9753" width="9.625" customWidth="1"/>
    <col min="9985" max="9985" width="9.125" customWidth="1"/>
    <col min="9986" max="9986" width="3.125" customWidth="1"/>
    <col min="9987" max="9987" width="10" customWidth="1"/>
    <col min="9988" max="9988" width="4.625" customWidth="1"/>
    <col min="9989" max="9989" width="8.625" customWidth="1"/>
    <col min="9990" max="9991" width="4.375" customWidth="1"/>
    <col min="9992" max="9994" width="6" customWidth="1"/>
    <col min="9995" max="10005" width="8.125" customWidth="1"/>
    <col min="10006" max="10006" width="4.5" customWidth="1"/>
    <col min="10007" max="10008" width="7.5" customWidth="1"/>
    <col min="10009" max="10009" width="9.625" customWidth="1"/>
    <col min="10241" max="10241" width="9.125" customWidth="1"/>
    <col min="10242" max="10242" width="3.125" customWidth="1"/>
    <col min="10243" max="10243" width="10" customWidth="1"/>
    <col min="10244" max="10244" width="4.625" customWidth="1"/>
    <col min="10245" max="10245" width="8.625" customWidth="1"/>
    <col min="10246" max="10247" width="4.375" customWidth="1"/>
    <col min="10248" max="10250" width="6" customWidth="1"/>
    <col min="10251" max="10261" width="8.125" customWidth="1"/>
    <col min="10262" max="10262" width="4.5" customWidth="1"/>
    <col min="10263" max="10264" width="7.5" customWidth="1"/>
    <col min="10265" max="10265" width="9.625" customWidth="1"/>
    <col min="10497" max="10497" width="9.125" customWidth="1"/>
    <col min="10498" max="10498" width="3.125" customWidth="1"/>
    <col min="10499" max="10499" width="10" customWidth="1"/>
    <col min="10500" max="10500" width="4.625" customWidth="1"/>
    <col min="10501" max="10501" width="8.625" customWidth="1"/>
    <col min="10502" max="10503" width="4.375" customWidth="1"/>
    <col min="10504" max="10506" width="6" customWidth="1"/>
    <col min="10507" max="10517" width="8.125" customWidth="1"/>
    <col min="10518" max="10518" width="4.5" customWidth="1"/>
    <col min="10519" max="10520" width="7.5" customWidth="1"/>
    <col min="10521" max="10521" width="9.625" customWidth="1"/>
    <col min="10753" max="10753" width="9.125" customWidth="1"/>
    <col min="10754" max="10754" width="3.125" customWidth="1"/>
    <col min="10755" max="10755" width="10" customWidth="1"/>
    <col min="10756" max="10756" width="4.625" customWidth="1"/>
    <col min="10757" max="10757" width="8.625" customWidth="1"/>
    <col min="10758" max="10759" width="4.375" customWidth="1"/>
    <col min="10760" max="10762" width="6" customWidth="1"/>
    <col min="10763" max="10773" width="8.125" customWidth="1"/>
    <col min="10774" max="10774" width="4.5" customWidth="1"/>
    <col min="10775" max="10776" width="7.5" customWidth="1"/>
    <col min="10777" max="10777" width="9.625" customWidth="1"/>
    <col min="11009" max="11009" width="9.125" customWidth="1"/>
    <col min="11010" max="11010" width="3.125" customWidth="1"/>
    <col min="11011" max="11011" width="10" customWidth="1"/>
    <col min="11012" max="11012" width="4.625" customWidth="1"/>
    <col min="11013" max="11013" width="8.625" customWidth="1"/>
    <col min="11014" max="11015" width="4.375" customWidth="1"/>
    <col min="11016" max="11018" width="6" customWidth="1"/>
    <col min="11019" max="11029" width="8.125" customWidth="1"/>
    <col min="11030" max="11030" width="4.5" customWidth="1"/>
    <col min="11031" max="11032" width="7.5" customWidth="1"/>
    <col min="11033" max="11033" width="9.625" customWidth="1"/>
    <col min="11265" max="11265" width="9.125" customWidth="1"/>
    <col min="11266" max="11266" width="3.125" customWidth="1"/>
    <col min="11267" max="11267" width="10" customWidth="1"/>
    <col min="11268" max="11268" width="4.625" customWidth="1"/>
    <col min="11269" max="11269" width="8.625" customWidth="1"/>
    <col min="11270" max="11271" width="4.375" customWidth="1"/>
    <col min="11272" max="11274" width="6" customWidth="1"/>
    <col min="11275" max="11285" width="8.125" customWidth="1"/>
    <col min="11286" max="11286" width="4.5" customWidth="1"/>
    <col min="11287" max="11288" width="7.5" customWidth="1"/>
    <col min="11289" max="11289" width="9.625" customWidth="1"/>
    <col min="11521" max="11521" width="9.125" customWidth="1"/>
    <col min="11522" max="11522" width="3.125" customWidth="1"/>
    <col min="11523" max="11523" width="10" customWidth="1"/>
    <col min="11524" max="11524" width="4.625" customWidth="1"/>
    <col min="11525" max="11525" width="8.625" customWidth="1"/>
    <col min="11526" max="11527" width="4.375" customWidth="1"/>
    <col min="11528" max="11530" width="6" customWidth="1"/>
    <col min="11531" max="11541" width="8.125" customWidth="1"/>
    <col min="11542" max="11542" width="4.5" customWidth="1"/>
    <col min="11543" max="11544" width="7.5" customWidth="1"/>
    <col min="11545" max="11545" width="9.625" customWidth="1"/>
    <col min="11777" max="11777" width="9.125" customWidth="1"/>
    <col min="11778" max="11778" width="3.125" customWidth="1"/>
    <col min="11779" max="11779" width="10" customWidth="1"/>
    <col min="11780" max="11780" width="4.625" customWidth="1"/>
    <col min="11781" max="11781" width="8.625" customWidth="1"/>
    <col min="11782" max="11783" width="4.375" customWidth="1"/>
    <col min="11784" max="11786" width="6" customWidth="1"/>
    <col min="11787" max="11797" width="8.125" customWidth="1"/>
    <col min="11798" max="11798" width="4.5" customWidth="1"/>
    <col min="11799" max="11800" width="7.5" customWidth="1"/>
    <col min="11801" max="11801" width="9.625" customWidth="1"/>
    <col min="12033" max="12033" width="9.125" customWidth="1"/>
    <col min="12034" max="12034" width="3.125" customWidth="1"/>
    <col min="12035" max="12035" width="10" customWidth="1"/>
    <col min="12036" max="12036" width="4.625" customWidth="1"/>
    <col min="12037" max="12037" width="8.625" customWidth="1"/>
    <col min="12038" max="12039" width="4.375" customWidth="1"/>
    <col min="12040" max="12042" width="6" customWidth="1"/>
    <col min="12043" max="12053" width="8.125" customWidth="1"/>
    <col min="12054" max="12054" width="4.5" customWidth="1"/>
    <col min="12055" max="12056" width="7.5" customWidth="1"/>
    <col min="12057" max="12057" width="9.625" customWidth="1"/>
    <col min="12289" max="12289" width="9.125" customWidth="1"/>
    <col min="12290" max="12290" width="3.125" customWidth="1"/>
    <col min="12291" max="12291" width="10" customWidth="1"/>
    <col min="12292" max="12292" width="4.625" customWidth="1"/>
    <col min="12293" max="12293" width="8.625" customWidth="1"/>
    <col min="12294" max="12295" width="4.375" customWidth="1"/>
    <col min="12296" max="12298" width="6" customWidth="1"/>
    <col min="12299" max="12309" width="8.125" customWidth="1"/>
    <col min="12310" max="12310" width="4.5" customWidth="1"/>
    <col min="12311" max="12312" width="7.5" customWidth="1"/>
    <col min="12313" max="12313" width="9.625" customWidth="1"/>
    <col min="12545" max="12545" width="9.125" customWidth="1"/>
    <col min="12546" max="12546" width="3.125" customWidth="1"/>
    <col min="12547" max="12547" width="10" customWidth="1"/>
    <col min="12548" max="12548" width="4.625" customWidth="1"/>
    <col min="12549" max="12549" width="8.625" customWidth="1"/>
    <col min="12550" max="12551" width="4.375" customWidth="1"/>
    <col min="12552" max="12554" width="6" customWidth="1"/>
    <col min="12555" max="12565" width="8.125" customWidth="1"/>
    <col min="12566" max="12566" width="4.5" customWidth="1"/>
    <col min="12567" max="12568" width="7.5" customWidth="1"/>
    <col min="12569" max="12569" width="9.625" customWidth="1"/>
    <col min="12801" max="12801" width="9.125" customWidth="1"/>
    <col min="12802" max="12802" width="3.125" customWidth="1"/>
    <col min="12803" max="12803" width="10" customWidth="1"/>
    <col min="12804" max="12804" width="4.625" customWidth="1"/>
    <col min="12805" max="12805" width="8.625" customWidth="1"/>
    <col min="12806" max="12807" width="4.375" customWidth="1"/>
    <col min="12808" max="12810" width="6" customWidth="1"/>
    <col min="12811" max="12821" width="8.125" customWidth="1"/>
    <col min="12822" max="12822" width="4.5" customWidth="1"/>
    <col min="12823" max="12824" width="7.5" customWidth="1"/>
    <col min="12825" max="12825" width="9.625" customWidth="1"/>
    <col min="13057" max="13057" width="9.125" customWidth="1"/>
    <col min="13058" max="13058" width="3.125" customWidth="1"/>
    <col min="13059" max="13059" width="10" customWidth="1"/>
    <col min="13060" max="13060" width="4.625" customWidth="1"/>
    <col min="13061" max="13061" width="8.625" customWidth="1"/>
    <col min="13062" max="13063" width="4.375" customWidth="1"/>
    <col min="13064" max="13066" width="6" customWidth="1"/>
    <col min="13067" max="13077" width="8.125" customWidth="1"/>
    <col min="13078" max="13078" width="4.5" customWidth="1"/>
    <col min="13079" max="13080" width="7.5" customWidth="1"/>
    <col min="13081" max="13081" width="9.625" customWidth="1"/>
    <col min="13313" max="13313" width="9.125" customWidth="1"/>
    <col min="13314" max="13314" width="3.125" customWidth="1"/>
    <col min="13315" max="13315" width="10" customWidth="1"/>
    <col min="13316" max="13316" width="4.625" customWidth="1"/>
    <col min="13317" max="13317" width="8.625" customWidth="1"/>
    <col min="13318" max="13319" width="4.375" customWidth="1"/>
    <col min="13320" max="13322" width="6" customWidth="1"/>
    <col min="13323" max="13333" width="8.125" customWidth="1"/>
    <col min="13334" max="13334" width="4.5" customWidth="1"/>
    <col min="13335" max="13336" width="7.5" customWidth="1"/>
    <col min="13337" max="13337" width="9.625" customWidth="1"/>
    <col min="13569" max="13569" width="9.125" customWidth="1"/>
    <col min="13570" max="13570" width="3.125" customWidth="1"/>
    <col min="13571" max="13571" width="10" customWidth="1"/>
    <col min="13572" max="13572" width="4.625" customWidth="1"/>
    <col min="13573" max="13573" width="8.625" customWidth="1"/>
    <col min="13574" max="13575" width="4.375" customWidth="1"/>
    <col min="13576" max="13578" width="6" customWidth="1"/>
    <col min="13579" max="13589" width="8.125" customWidth="1"/>
    <col min="13590" max="13590" width="4.5" customWidth="1"/>
    <col min="13591" max="13592" width="7.5" customWidth="1"/>
    <col min="13593" max="13593" width="9.625" customWidth="1"/>
    <col min="13825" max="13825" width="9.125" customWidth="1"/>
    <col min="13826" max="13826" width="3.125" customWidth="1"/>
    <col min="13827" max="13827" width="10" customWidth="1"/>
    <col min="13828" max="13828" width="4.625" customWidth="1"/>
    <col min="13829" max="13829" width="8.625" customWidth="1"/>
    <col min="13830" max="13831" width="4.375" customWidth="1"/>
    <col min="13832" max="13834" width="6" customWidth="1"/>
    <col min="13835" max="13845" width="8.125" customWidth="1"/>
    <col min="13846" max="13846" width="4.5" customWidth="1"/>
    <col min="13847" max="13848" width="7.5" customWidth="1"/>
    <col min="13849" max="13849" width="9.625" customWidth="1"/>
    <col min="14081" max="14081" width="9.125" customWidth="1"/>
    <col min="14082" max="14082" width="3.125" customWidth="1"/>
    <col min="14083" max="14083" width="10" customWidth="1"/>
    <col min="14084" max="14084" width="4.625" customWidth="1"/>
    <col min="14085" max="14085" width="8.625" customWidth="1"/>
    <col min="14086" max="14087" width="4.375" customWidth="1"/>
    <col min="14088" max="14090" width="6" customWidth="1"/>
    <col min="14091" max="14101" width="8.125" customWidth="1"/>
    <col min="14102" max="14102" width="4.5" customWidth="1"/>
    <col min="14103" max="14104" width="7.5" customWidth="1"/>
    <col min="14105" max="14105" width="9.625" customWidth="1"/>
    <col min="14337" max="14337" width="9.125" customWidth="1"/>
    <col min="14338" max="14338" width="3.125" customWidth="1"/>
    <col min="14339" max="14339" width="10" customWidth="1"/>
    <col min="14340" max="14340" width="4.625" customWidth="1"/>
    <col min="14341" max="14341" width="8.625" customWidth="1"/>
    <col min="14342" max="14343" width="4.375" customWidth="1"/>
    <col min="14344" max="14346" width="6" customWidth="1"/>
    <col min="14347" max="14357" width="8.125" customWidth="1"/>
    <col min="14358" max="14358" width="4.5" customWidth="1"/>
    <col min="14359" max="14360" width="7.5" customWidth="1"/>
    <col min="14361" max="14361" width="9.625" customWidth="1"/>
    <col min="14593" max="14593" width="9.125" customWidth="1"/>
    <col min="14594" max="14594" width="3.125" customWidth="1"/>
    <col min="14595" max="14595" width="10" customWidth="1"/>
    <col min="14596" max="14596" width="4.625" customWidth="1"/>
    <col min="14597" max="14597" width="8.625" customWidth="1"/>
    <col min="14598" max="14599" width="4.375" customWidth="1"/>
    <col min="14600" max="14602" width="6" customWidth="1"/>
    <col min="14603" max="14613" width="8.125" customWidth="1"/>
    <col min="14614" max="14614" width="4.5" customWidth="1"/>
    <col min="14615" max="14616" width="7.5" customWidth="1"/>
    <col min="14617" max="14617" width="9.625" customWidth="1"/>
    <col min="14849" max="14849" width="9.125" customWidth="1"/>
    <col min="14850" max="14850" width="3.125" customWidth="1"/>
    <col min="14851" max="14851" width="10" customWidth="1"/>
    <col min="14852" max="14852" width="4.625" customWidth="1"/>
    <col min="14853" max="14853" width="8.625" customWidth="1"/>
    <col min="14854" max="14855" width="4.375" customWidth="1"/>
    <col min="14856" max="14858" width="6" customWidth="1"/>
    <col min="14859" max="14869" width="8.125" customWidth="1"/>
    <col min="14870" max="14870" width="4.5" customWidth="1"/>
    <col min="14871" max="14872" width="7.5" customWidth="1"/>
    <col min="14873" max="14873" width="9.625" customWidth="1"/>
    <col min="15105" max="15105" width="9.125" customWidth="1"/>
    <col min="15106" max="15106" width="3.125" customWidth="1"/>
    <col min="15107" max="15107" width="10" customWidth="1"/>
    <col min="15108" max="15108" width="4.625" customWidth="1"/>
    <col min="15109" max="15109" width="8.625" customWidth="1"/>
    <col min="15110" max="15111" width="4.375" customWidth="1"/>
    <col min="15112" max="15114" width="6" customWidth="1"/>
    <col min="15115" max="15125" width="8.125" customWidth="1"/>
    <col min="15126" max="15126" width="4.5" customWidth="1"/>
    <col min="15127" max="15128" width="7.5" customWidth="1"/>
    <col min="15129" max="15129" width="9.625" customWidth="1"/>
    <col min="15361" max="15361" width="9.125" customWidth="1"/>
    <col min="15362" max="15362" width="3.125" customWidth="1"/>
    <col min="15363" max="15363" width="10" customWidth="1"/>
    <col min="15364" max="15364" width="4.625" customWidth="1"/>
    <col min="15365" max="15365" width="8.625" customWidth="1"/>
    <col min="15366" max="15367" width="4.375" customWidth="1"/>
    <col min="15368" max="15370" width="6" customWidth="1"/>
    <col min="15371" max="15381" width="8.125" customWidth="1"/>
    <col min="15382" max="15382" width="4.5" customWidth="1"/>
    <col min="15383" max="15384" width="7.5" customWidth="1"/>
    <col min="15385" max="15385" width="9.625" customWidth="1"/>
    <col min="15617" max="15617" width="9.125" customWidth="1"/>
    <col min="15618" max="15618" width="3.125" customWidth="1"/>
    <col min="15619" max="15619" width="10" customWidth="1"/>
    <col min="15620" max="15620" width="4.625" customWidth="1"/>
    <col min="15621" max="15621" width="8.625" customWidth="1"/>
    <col min="15622" max="15623" width="4.375" customWidth="1"/>
    <col min="15624" max="15626" width="6" customWidth="1"/>
    <col min="15627" max="15637" width="8.125" customWidth="1"/>
    <col min="15638" max="15638" width="4.5" customWidth="1"/>
    <col min="15639" max="15640" width="7.5" customWidth="1"/>
    <col min="15641" max="15641" width="9.625" customWidth="1"/>
    <col min="15873" max="15873" width="9.125" customWidth="1"/>
    <col min="15874" max="15874" width="3.125" customWidth="1"/>
    <col min="15875" max="15875" width="10" customWidth="1"/>
    <col min="15876" max="15876" width="4.625" customWidth="1"/>
    <col min="15877" max="15877" width="8.625" customWidth="1"/>
    <col min="15878" max="15879" width="4.375" customWidth="1"/>
    <col min="15880" max="15882" width="6" customWidth="1"/>
    <col min="15883" max="15893" width="8.125" customWidth="1"/>
    <col min="15894" max="15894" width="4.5" customWidth="1"/>
    <col min="15895" max="15896" width="7.5" customWidth="1"/>
    <col min="15897" max="15897" width="9.625" customWidth="1"/>
    <col min="16129" max="16129" width="9.125" customWidth="1"/>
    <col min="16130" max="16130" width="3.125" customWidth="1"/>
    <col min="16131" max="16131" width="10" customWidth="1"/>
    <col min="16132" max="16132" width="4.625" customWidth="1"/>
    <col min="16133" max="16133" width="8.625" customWidth="1"/>
    <col min="16134" max="16135" width="4.375" customWidth="1"/>
    <col min="16136" max="16138" width="6" customWidth="1"/>
    <col min="16139" max="16149" width="8.125" customWidth="1"/>
    <col min="16150" max="16150" width="4.5" customWidth="1"/>
    <col min="16151" max="16152" width="7.5" customWidth="1"/>
    <col min="16153" max="16153" width="9.625" customWidth="1"/>
  </cols>
  <sheetData>
    <row r="2" spans="1:25" ht="11.25" customHeight="1" x14ac:dyDescent="0.15">
      <c r="A2" s="40" t="s">
        <v>36</v>
      </c>
      <c r="B2" s="421" t="s">
        <v>37</v>
      </c>
      <c r="C2" s="423" t="s">
        <v>61</v>
      </c>
      <c r="D2" s="425" t="s">
        <v>39</v>
      </c>
      <c r="E2" s="427" t="s">
        <v>40</v>
      </c>
      <c r="F2" s="429" t="s">
        <v>24</v>
      </c>
      <c r="G2" s="430"/>
      <c r="H2" s="416" t="s">
        <v>62</v>
      </c>
      <c r="I2" s="416" t="s">
        <v>42</v>
      </c>
      <c r="J2" s="416" t="s">
        <v>43</v>
      </c>
      <c r="K2" s="431" t="s">
        <v>44</v>
      </c>
      <c r="L2" s="433" t="s">
        <v>45</v>
      </c>
      <c r="M2" s="434"/>
      <c r="N2" s="417" t="s">
        <v>46</v>
      </c>
      <c r="O2" s="416" t="s">
        <v>47</v>
      </c>
      <c r="P2" s="416" t="s">
        <v>48</v>
      </c>
      <c r="Q2" s="416" t="s">
        <v>49</v>
      </c>
      <c r="R2" s="416" t="s">
        <v>50</v>
      </c>
      <c r="S2" s="417" t="s">
        <v>51</v>
      </c>
      <c r="T2" s="416" t="s">
        <v>52</v>
      </c>
      <c r="U2" s="419" t="s">
        <v>53</v>
      </c>
      <c r="V2" s="410" t="s">
        <v>54</v>
      </c>
      <c r="W2" s="412" t="s">
        <v>55</v>
      </c>
      <c r="X2" s="414" t="s">
        <v>56</v>
      </c>
      <c r="Y2" s="414" t="s">
        <v>57</v>
      </c>
    </row>
    <row r="3" spans="1:25" ht="11.25" customHeight="1" x14ac:dyDescent="0.15">
      <c r="A3" s="41" t="s">
        <v>58</v>
      </c>
      <c r="B3" s="422"/>
      <c r="C3" s="424"/>
      <c r="D3" s="426"/>
      <c r="E3" s="428"/>
      <c r="F3" s="42" t="s">
        <v>19</v>
      </c>
      <c r="G3" s="42" t="s">
        <v>20</v>
      </c>
      <c r="H3" s="413"/>
      <c r="I3" s="413"/>
      <c r="J3" s="413"/>
      <c r="K3" s="432"/>
      <c r="L3" s="43" t="s">
        <v>59</v>
      </c>
      <c r="M3" s="43" t="s">
        <v>60</v>
      </c>
      <c r="N3" s="418"/>
      <c r="O3" s="413"/>
      <c r="P3" s="413"/>
      <c r="Q3" s="413"/>
      <c r="R3" s="413"/>
      <c r="S3" s="418"/>
      <c r="T3" s="413"/>
      <c r="U3" s="420"/>
      <c r="V3" s="411"/>
      <c r="W3" s="413"/>
      <c r="X3" s="415"/>
      <c r="Y3" s="415"/>
    </row>
    <row r="5" spans="1:25" ht="4.5" customHeight="1" x14ac:dyDescent="0.15"/>
    <row r="6" spans="1:25" ht="11.25" customHeight="1" x14ac:dyDescent="0.15">
      <c r="A6" s="47" t="s">
        <v>63</v>
      </c>
      <c r="B6" s="48"/>
      <c r="C6" s="49"/>
      <c r="D6" s="50"/>
      <c r="E6" s="51"/>
      <c r="F6" s="52"/>
      <c r="G6" s="52"/>
      <c r="H6" s="53"/>
      <c r="I6" s="53"/>
      <c r="J6" s="53"/>
      <c r="K6" s="54"/>
      <c r="L6" s="54"/>
      <c r="M6" s="54"/>
      <c r="N6" s="54"/>
      <c r="O6" s="55"/>
      <c r="P6" s="54"/>
      <c r="Q6" s="54"/>
      <c r="R6" s="55"/>
      <c r="S6" s="54"/>
      <c r="T6" s="54"/>
      <c r="U6" s="54"/>
      <c r="V6" s="56"/>
      <c r="W6" s="57"/>
      <c r="X6" s="58"/>
      <c r="Y6" s="58"/>
    </row>
    <row r="8" spans="1:25" ht="11.25" customHeight="1" x14ac:dyDescent="0.15">
      <c r="A8" s="59" t="s">
        <v>64</v>
      </c>
      <c r="B8" s="48">
        <v>1</v>
      </c>
      <c r="C8" s="49" t="s">
        <v>65</v>
      </c>
      <c r="D8" s="50">
        <v>1</v>
      </c>
      <c r="E8" s="51">
        <v>37622</v>
      </c>
      <c r="F8" s="52">
        <v>10</v>
      </c>
      <c r="G8" s="52">
        <v>10</v>
      </c>
      <c r="H8" s="53">
        <v>1234.56</v>
      </c>
      <c r="I8" s="53">
        <v>123.5</v>
      </c>
      <c r="J8" s="53"/>
      <c r="K8" s="54">
        <v>45555</v>
      </c>
      <c r="L8" s="54">
        <v>4444444</v>
      </c>
      <c r="M8" s="54">
        <v>800000</v>
      </c>
      <c r="N8" s="54">
        <v>122222</v>
      </c>
      <c r="O8" s="55">
        <v>111111</v>
      </c>
      <c r="P8" s="54">
        <v>111111</v>
      </c>
      <c r="Q8" s="54">
        <v>222222</v>
      </c>
      <c r="R8" s="55">
        <v>111111</v>
      </c>
      <c r="S8" s="54">
        <v>1111111</v>
      </c>
      <c r="T8" s="54">
        <v>111111</v>
      </c>
      <c r="U8" s="54">
        <v>111111</v>
      </c>
      <c r="V8" s="56">
        <v>0.79</v>
      </c>
      <c r="W8" s="57">
        <v>111111</v>
      </c>
      <c r="X8" s="58">
        <v>111111</v>
      </c>
      <c r="Y8" s="58">
        <v>111112</v>
      </c>
    </row>
    <row r="9" spans="1:25" x14ac:dyDescent="0.15">
      <c r="A9" s="60"/>
      <c r="B9" s="61"/>
      <c r="C9" s="62"/>
      <c r="D9" s="61"/>
      <c r="E9" s="63"/>
      <c r="F9" s="64"/>
      <c r="G9" s="64"/>
      <c r="H9" s="65"/>
      <c r="I9" s="65"/>
      <c r="J9" s="65"/>
      <c r="K9" s="66"/>
      <c r="L9" s="66"/>
      <c r="M9" s="66"/>
      <c r="N9" s="66"/>
      <c r="O9" s="66"/>
      <c r="P9" s="66"/>
      <c r="Q9" s="66"/>
      <c r="R9" s="66"/>
      <c r="S9" s="66"/>
      <c r="T9" s="66"/>
      <c r="U9" s="66"/>
      <c r="V9" s="67"/>
      <c r="W9" s="66"/>
      <c r="X9" s="68"/>
      <c r="Y9" s="68"/>
    </row>
    <row r="10" spans="1:25" ht="11.25" customHeight="1" x14ac:dyDescent="0.15">
      <c r="A10" s="69" t="s">
        <v>66</v>
      </c>
      <c r="B10" s="70"/>
      <c r="C10" s="71"/>
      <c r="D10" s="72"/>
      <c r="E10" s="73"/>
      <c r="F10" s="74"/>
      <c r="G10" s="74"/>
      <c r="H10" s="75"/>
      <c r="I10" s="75"/>
      <c r="J10" s="75"/>
      <c r="K10" s="76"/>
      <c r="L10" s="76"/>
      <c r="M10" s="76"/>
      <c r="N10" s="76"/>
      <c r="O10" s="77">
        <f>SUM(L10:N10)</f>
        <v>0</v>
      </c>
      <c r="P10" s="76"/>
      <c r="Q10" s="76"/>
      <c r="R10" s="77">
        <f>SUM(P10:Q10)</f>
        <v>0</v>
      </c>
      <c r="S10" s="76"/>
      <c r="T10" s="76"/>
      <c r="U10" s="76">
        <f>N10-R10</f>
        <v>0</v>
      </c>
      <c r="V10" s="78"/>
      <c r="W10" s="79"/>
      <c r="X10" s="80"/>
      <c r="Y10" s="80"/>
    </row>
    <row r="12" spans="1:25" ht="6" customHeight="1" x14ac:dyDescent="0.15"/>
    <row r="13" spans="1:25" ht="13.5" customHeight="1" x14ac:dyDescent="0.15">
      <c r="A13" s="81" t="s">
        <v>67</v>
      </c>
      <c r="B13" s="82"/>
      <c r="C13" s="83"/>
      <c r="D13" s="84"/>
      <c r="E13" s="85"/>
      <c r="F13" s="86"/>
      <c r="G13" s="86"/>
      <c r="H13" s="87"/>
      <c r="I13" s="87"/>
      <c r="J13" s="87"/>
      <c r="K13" s="88"/>
      <c r="L13" s="88"/>
      <c r="M13" s="88"/>
      <c r="N13" s="88"/>
      <c r="O13" s="89">
        <f>SUM(L13:N13)</f>
        <v>0</v>
      </c>
      <c r="P13" s="88"/>
      <c r="Q13" s="88"/>
      <c r="R13" s="89">
        <f>SUM(P13:Q13)</f>
        <v>0</v>
      </c>
      <c r="S13" s="88"/>
      <c r="T13" s="88"/>
      <c r="U13" s="88">
        <f>N13-R13</f>
        <v>0</v>
      </c>
      <c r="V13" s="90" t="e">
        <f>(L13+K13+M13+W13)/O13</f>
        <v>#DIV/0!</v>
      </c>
      <c r="W13" s="91"/>
      <c r="X13" s="92"/>
      <c r="Y13" s="92"/>
    </row>
    <row r="14" spans="1:25" ht="14.25" thickBot="1" x14ac:dyDescent="0.2"/>
    <row r="15" spans="1:25" s="93" customFormat="1" ht="14.25" thickBot="1" x14ac:dyDescent="0.2">
      <c r="B15" s="94"/>
      <c r="K15" s="95"/>
      <c r="L15" s="96"/>
      <c r="M15" s="97"/>
      <c r="N15" s="98"/>
      <c r="O15" s="99"/>
      <c r="Q15" s="94"/>
      <c r="R15" s="94"/>
      <c r="S15" s="94"/>
      <c r="T15" s="94"/>
      <c r="U15" s="94"/>
    </row>
    <row r="16" spans="1:25" s="93" customFormat="1" ht="15" thickTop="1" thickBot="1" x14ac:dyDescent="0.2">
      <c r="B16" s="94"/>
      <c r="K16" s="100" t="s">
        <v>68</v>
      </c>
      <c r="L16" s="101"/>
      <c r="M16" s="102"/>
      <c r="N16" s="103"/>
      <c r="O16" s="104"/>
      <c r="Q16" s="94"/>
      <c r="R16" s="94"/>
      <c r="S16" s="94"/>
      <c r="T16" s="94"/>
      <c r="U16" s="94"/>
    </row>
    <row r="17" spans="1:21" s="107" customFormat="1" ht="15" customHeight="1" thickBot="1" x14ac:dyDescent="0.2">
      <c r="A17" s="105"/>
      <c r="B17" s="106"/>
      <c r="C17" s="105"/>
      <c r="K17" s="108" t="s">
        <v>24</v>
      </c>
      <c r="L17" s="109"/>
      <c r="M17" s="110"/>
      <c r="N17" s="111"/>
      <c r="O17" s="112"/>
      <c r="Q17" s="106"/>
      <c r="R17" s="106"/>
      <c r="S17" s="106"/>
      <c r="T17" s="106"/>
      <c r="U17" s="106"/>
    </row>
    <row r="18" spans="1:21" s="107" customFormat="1" ht="13.5" customHeight="1" x14ac:dyDescent="0.15">
      <c r="B18" s="113"/>
      <c r="C18" s="105"/>
      <c r="K18" s="114" t="s">
        <v>69</v>
      </c>
      <c r="L18" s="115"/>
      <c r="M18" s="116"/>
      <c r="N18" s="117"/>
      <c r="O18" s="118"/>
      <c r="Q18" s="113"/>
      <c r="R18" s="113"/>
      <c r="S18" s="113"/>
      <c r="T18" s="113"/>
      <c r="U18" s="113"/>
    </row>
    <row r="19" spans="1:21" s="107" customFormat="1" ht="12" x14ac:dyDescent="0.15">
      <c r="B19" s="113"/>
      <c r="C19" s="105"/>
      <c r="K19" s="119" t="s">
        <v>28</v>
      </c>
      <c r="L19" s="120"/>
      <c r="M19" s="121"/>
      <c r="N19" s="122"/>
      <c r="O19" s="123"/>
      <c r="Q19" s="113"/>
      <c r="R19" s="113"/>
      <c r="S19" s="113"/>
      <c r="T19" s="113"/>
      <c r="U19" s="113"/>
    </row>
    <row r="20" spans="1:21" s="107" customFormat="1" ht="12" x14ac:dyDescent="0.15">
      <c r="B20" s="113"/>
      <c r="C20" s="105"/>
      <c r="K20" s="119" t="s">
        <v>70</v>
      </c>
      <c r="L20" s="120"/>
      <c r="M20" s="121"/>
      <c r="N20" s="122"/>
      <c r="O20" s="123"/>
      <c r="Q20" s="113"/>
      <c r="R20" s="113"/>
      <c r="S20" s="113"/>
      <c r="T20" s="113"/>
      <c r="U20" s="113"/>
    </row>
    <row r="21" spans="1:21" s="107" customFormat="1" ht="14.25" customHeight="1" thickBot="1" x14ac:dyDescent="0.2">
      <c r="B21" s="113"/>
      <c r="C21" s="105"/>
      <c r="K21" s="124" t="s">
        <v>67</v>
      </c>
      <c r="L21" s="125"/>
      <c r="M21" s="126"/>
      <c r="N21" s="127"/>
      <c r="O21" s="128"/>
      <c r="Q21" s="113"/>
      <c r="R21" s="113"/>
      <c r="S21" s="113"/>
      <c r="T21" s="113"/>
      <c r="U21" s="113"/>
    </row>
    <row r="22" spans="1:21" x14ac:dyDescent="0.15">
      <c r="C22" s="93"/>
    </row>
    <row r="23" spans="1:21" x14ac:dyDescent="0.15">
      <c r="B23" s="94"/>
      <c r="C23" s="93"/>
      <c r="D23" s="93"/>
    </row>
    <row r="24" spans="1:21" x14ac:dyDescent="0.15">
      <c r="B24" s="106"/>
      <c r="C24" s="105"/>
      <c r="D24" s="107"/>
    </row>
    <row r="25" spans="1:21" x14ac:dyDescent="0.15">
      <c r="B25" s="113"/>
      <c r="C25" s="105"/>
      <c r="D25" s="107"/>
    </row>
    <row r="26" spans="1:21" x14ac:dyDescent="0.15">
      <c r="B26" s="113"/>
      <c r="C26" s="105"/>
      <c r="D26" s="107"/>
    </row>
    <row r="27" spans="1:21" x14ac:dyDescent="0.15">
      <c r="B27" s="113"/>
      <c r="C27" s="105"/>
      <c r="D27" s="107"/>
    </row>
    <row r="28" spans="1:21" x14ac:dyDescent="0.15">
      <c r="B28" s="113"/>
      <c r="C28" s="105"/>
      <c r="D28" s="107"/>
    </row>
  </sheetData>
  <mergeCells count="22">
    <mergeCell ref="O2:O3"/>
    <mergeCell ref="B2:B3"/>
    <mergeCell ref="C2:C3"/>
    <mergeCell ref="D2:D3"/>
    <mergeCell ref="E2:E3"/>
    <mergeCell ref="F2:G2"/>
    <mergeCell ref="H2:H3"/>
    <mergeCell ref="I2:I3"/>
    <mergeCell ref="J2:J3"/>
    <mergeCell ref="K2:K3"/>
    <mergeCell ref="L2:M2"/>
    <mergeCell ref="N2:N3"/>
    <mergeCell ref="V2:V3"/>
    <mergeCell ref="W2:W3"/>
    <mergeCell ref="X2:X3"/>
    <mergeCell ref="Y2:Y3"/>
    <mergeCell ref="P2:P3"/>
    <mergeCell ref="Q2:Q3"/>
    <mergeCell ref="R2:R3"/>
    <mergeCell ref="S2:S3"/>
    <mergeCell ref="T2:T3"/>
    <mergeCell ref="U2:U3"/>
  </mergeCells>
  <phoneticPr fontId="3"/>
  <pageMargins left="0.43307086614173229" right="0" top="0.51181102362204722" bottom="0.39370078740157483" header="0.31496062992125984" footer="0.31496062992125984"/>
  <pageSetup paperSize="9" scale="79" orientation="landscape" r:id="rId1"/>
  <headerFooter alignWithMargins="0">
    <oddHeader>&amp;RＮｏ．&amp;P</oddHeader>
    <oddFooter>&amp;L&amp;7小計にあるマークの意味
    ★追証発生
    ◆ストップロス発生
    ★◆追証、ストップロス共に発生</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999A2-829F-413D-B750-64E38E54FCB5}">
  <sheetPr codeName="Sheet6"/>
  <dimension ref="A1:Q52"/>
  <sheetViews>
    <sheetView zoomScaleNormal="100" workbookViewId="0">
      <selection activeCell="T31" sqref="T31:T32"/>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2.625" style="3" customWidth="1"/>
    <col min="14" max="14" width="8.625" style="3" hidden="1" customWidth="1"/>
    <col min="15" max="15" width="12.625" style="3" customWidth="1"/>
    <col min="16" max="16" width="4.125" style="3" customWidth="1"/>
    <col min="17" max="17" width="6.625"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2.625" style="3" customWidth="1"/>
    <col min="270" max="270" width="0" style="3" hidden="1" customWidth="1"/>
    <col min="271" max="271" width="12.625" style="3" customWidth="1"/>
    <col min="272" max="272" width="4.125" style="3" customWidth="1"/>
    <col min="273" max="273" width="6.625"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2.625" style="3" customWidth="1"/>
    <col min="526" max="526" width="0" style="3" hidden="1" customWidth="1"/>
    <col min="527" max="527" width="12.625" style="3" customWidth="1"/>
    <col min="528" max="528" width="4.125" style="3" customWidth="1"/>
    <col min="529" max="529" width="6.625"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2.625" style="3" customWidth="1"/>
    <col min="782" max="782" width="0" style="3" hidden="1" customWidth="1"/>
    <col min="783" max="783" width="12.625" style="3" customWidth="1"/>
    <col min="784" max="784" width="4.125" style="3" customWidth="1"/>
    <col min="785" max="785" width="6.625"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2.625" style="3" customWidth="1"/>
    <col min="1038" max="1038" width="0" style="3" hidden="1" customWidth="1"/>
    <col min="1039" max="1039" width="12.625" style="3" customWidth="1"/>
    <col min="1040" max="1040" width="4.125" style="3" customWidth="1"/>
    <col min="1041" max="1041" width="6.625"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2.625" style="3" customWidth="1"/>
    <col min="1294" max="1294" width="0" style="3" hidden="1" customWidth="1"/>
    <col min="1295" max="1295" width="12.625" style="3" customWidth="1"/>
    <col min="1296" max="1296" width="4.125" style="3" customWidth="1"/>
    <col min="1297" max="1297" width="6.625"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2.625" style="3" customWidth="1"/>
    <col min="1550" max="1550" width="0" style="3" hidden="1" customWidth="1"/>
    <col min="1551" max="1551" width="12.625" style="3" customWidth="1"/>
    <col min="1552" max="1552" width="4.125" style="3" customWidth="1"/>
    <col min="1553" max="1553" width="6.625"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2.625" style="3" customWidth="1"/>
    <col min="1806" max="1806" width="0" style="3" hidden="1" customWidth="1"/>
    <col min="1807" max="1807" width="12.625" style="3" customWidth="1"/>
    <col min="1808" max="1808" width="4.125" style="3" customWidth="1"/>
    <col min="1809" max="1809" width="6.625"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2.625" style="3" customWidth="1"/>
    <col min="2062" max="2062" width="0" style="3" hidden="1" customWidth="1"/>
    <col min="2063" max="2063" width="12.625" style="3" customWidth="1"/>
    <col min="2064" max="2064" width="4.125" style="3" customWidth="1"/>
    <col min="2065" max="2065" width="6.625"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2.625" style="3" customWidth="1"/>
    <col min="2318" max="2318" width="0" style="3" hidden="1" customWidth="1"/>
    <col min="2319" max="2319" width="12.625" style="3" customWidth="1"/>
    <col min="2320" max="2320" width="4.125" style="3" customWidth="1"/>
    <col min="2321" max="2321" width="6.625"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2.625" style="3" customWidth="1"/>
    <col min="2574" max="2574" width="0" style="3" hidden="1" customWidth="1"/>
    <col min="2575" max="2575" width="12.625" style="3" customWidth="1"/>
    <col min="2576" max="2576" width="4.125" style="3" customWidth="1"/>
    <col min="2577" max="2577" width="6.625"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2.625" style="3" customWidth="1"/>
    <col min="2830" max="2830" width="0" style="3" hidden="1" customWidth="1"/>
    <col min="2831" max="2831" width="12.625" style="3" customWidth="1"/>
    <col min="2832" max="2832" width="4.125" style="3" customWidth="1"/>
    <col min="2833" max="2833" width="6.625"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2.625" style="3" customWidth="1"/>
    <col min="3086" max="3086" width="0" style="3" hidden="1" customWidth="1"/>
    <col min="3087" max="3087" width="12.625" style="3" customWidth="1"/>
    <col min="3088" max="3088" width="4.125" style="3" customWidth="1"/>
    <col min="3089" max="3089" width="6.625"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2.625" style="3" customWidth="1"/>
    <col min="3342" max="3342" width="0" style="3" hidden="1" customWidth="1"/>
    <col min="3343" max="3343" width="12.625" style="3" customWidth="1"/>
    <col min="3344" max="3344" width="4.125" style="3" customWidth="1"/>
    <col min="3345" max="3345" width="6.625"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2.625" style="3" customWidth="1"/>
    <col min="3598" max="3598" width="0" style="3" hidden="1" customWidth="1"/>
    <col min="3599" max="3599" width="12.625" style="3" customWidth="1"/>
    <col min="3600" max="3600" width="4.125" style="3" customWidth="1"/>
    <col min="3601" max="3601" width="6.625"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2.625" style="3" customWidth="1"/>
    <col min="3854" max="3854" width="0" style="3" hidden="1" customWidth="1"/>
    <col min="3855" max="3855" width="12.625" style="3" customWidth="1"/>
    <col min="3856" max="3856" width="4.125" style="3" customWidth="1"/>
    <col min="3857" max="3857" width="6.625"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2.625" style="3" customWidth="1"/>
    <col min="4110" max="4110" width="0" style="3" hidden="1" customWidth="1"/>
    <col min="4111" max="4111" width="12.625" style="3" customWidth="1"/>
    <col min="4112" max="4112" width="4.125" style="3" customWidth="1"/>
    <col min="4113" max="4113" width="6.625"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2.625" style="3" customWidth="1"/>
    <col min="4366" max="4366" width="0" style="3" hidden="1" customWidth="1"/>
    <col min="4367" max="4367" width="12.625" style="3" customWidth="1"/>
    <col min="4368" max="4368" width="4.125" style="3" customWidth="1"/>
    <col min="4369" max="4369" width="6.625"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2.625" style="3" customWidth="1"/>
    <col min="4622" max="4622" width="0" style="3" hidden="1" customWidth="1"/>
    <col min="4623" max="4623" width="12.625" style="3" customWidth="1"/>
    <col min="4624" max="4624" width="4.125" style="3" customWidth="1"/>
    <col min="4625" max="4625" width="6.625"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2.625" style="3" customWidth="1"/>
    <col min="4878" max="4878" width="0" style="3" hidden="1" customWidth="1"/>
    <col min="4879" max="4879" width="12.625" style="3" customWidth="1"/>
    <col min="4880" max="4880" width="4.125" style="3" customWidth="1"/>
    <col min="4881" max="4881" width="6.625"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2.625" style="3" customWidth="1"/>
    <col min="5134" max="5134" width="0" style="3" hidden="1" customWidth="1"/>
    <col min="5135" max="5135" width="12.625" style="3" customWidth="1"/>
    <col min="5136" max="5136" width="4.125" style="3" customWidth="1"/>
    <col min="5137" max="5137" width="6.625"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2.625" style="3" customWidth="1"/>
    <col min="5390" max="5390" width="0" style="3" hidden="1" customWidth="1"/>
    <col min="5391" max="5391" width="12.625" style="3" customWidth="1"/>
    <col min="5392" max="5392" width="4.125" style="3" customWidth="1"/>
    <col min="5393" max="5393" width="6.625"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2.625" style="3" customWidth="1"/>
    <col min="5646" max="5646" width="0" style="3" hidden="1" customWidth="1"/>
    <col min="5647" max="5647" width="12.625" style="3" customWidth="1"/>
    <col min="5648" max="5648" width="4.125" style="3" customWidth="1"/>
    <col min="5649" max="5649" width="6.625"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2.625" style="3" customWidth="1"/>
    <col min="5902" max="5902" width="0" style="3" hidden="1" customWidth="1"/>
    <col min="5903" max="5903" width="12.625" style="3" customWidth="1"/>
    <col min="5904" max="5904" width="4.125" style="3" customWidth="1"/>
    <col min="5905" max="5905" width="6.625"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2.625" style="3" customWidth="1"/>
    <col min="6158" max="6158" width="0" style="3" hidden="1" customWidth="1"/>
    <col min="6159" max="6159" width="12.625" style="3" customWidth="1"/>
    <col min="6160" max="6160" width="4.125" style="3" customWidth="1"/>
    <col min="6161" max="6161" width="6.625"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2.625" style="3" customWidth="1"/>
    <col min="6414" max="6414" width="0" style="3" hidden="1" customWidth="1"/>
    <col min="6415" max="6415" width="12.625" style="3" customWidth="1"/>
    <col min="6416" max="6416" width="4.125" style="3" customWidth="1"/>
    <col min="6417" max="6417" width="6.625"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2.625" style="3" customWidth="1"/>
    <col min="6670" max="6670" width="0" style="3" hidden="1" customWidth="1"/>
    <col min="6671" max="6671" width="12.625" style="3" customWidth="1"/>
    <col min="6672" max="6672" width="4.125" style="3" customWidth="1"/>
    <col min="6673" max="6673" width="6.625"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2.625" style="3" customWidth="1"/>
    <col min="6926" max="6926" width="0" style="3" hidden="1" customWidth="1"/>
    <col min="6927" max="6927" width="12.625" style="3" customWidth="1"/>
    <col min="6928" max="6928" width="4.125" style="3" customWidth="1"/>
    <col min="6929" max="6929" width="6.625"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2.625" style="3" customWidth="1"/>
    <col min="7182" max="7182" width="0" style="3" hidden="1" customWidth="1"/>
    <col min="7183" max="7183" width="12.625" style="3" customWidth="1"/>
    <col min="7184" max="7184" width="4.125" style="3" customWidth="1"/>
    <col min="7185" max="7185" width="6.625"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2.625" style="3" customWidth="1"/>
    <col min="7438" max="7438" width="0" style="3" hidden="1" customWidth="1"/>
    <col min="7439" max="7439" width="12.625" style="3" customWidth="1"/>
    <col min="7440" max="7440" width="4.125" style="3" customWidth="1"/>
    <col min="7441" max="7441" width="6.625"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2.625" style="3" customWidth="1"/>
    <col min="7694" max="7694" width="0" style="3" hidden="1" customWidth="1"/>
    <col min="7695" max="7695" width="12.625" style="3" customWidth="1"/>
    <col min="7696" max="7696" width="4.125" style="3" customWidth="1"/>
    <col min="7697" max="7697" width="6.625"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2.625" style="3" customWidth="1"/>
    <col min="7950" max="7950" width="0" style="3" hidden="1" customWidth="1"/>
    <col min="7951" max="7951" width="12.625" style="3" customWidth="1"/>
    <col min="7952" max="7952" width="4.125" style="3" customWidth="1"/>
    <col min="7953" max="7953" width="6.625"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2.625" style="3" customWidth="1"/>
    <col min="8206" max="8206" width="0" style="3" hidden="1" customWidth="1"/>
    <col min="8207" max="8207" width="12.625" style="3" customWidth="1"/>
    <col min="8208" max="8208" width="4.125" style="3" customWidth="1"/>
    <col min="8209" max="8209" width="6.625"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2.625" style="3" customWidth="1"/>
    <col min="8462" max="8462" width="0" style="3" hidden="1" customWidth="1"/>
    <col min="8463" max="8463" width="12.625" style="3" customWidth="1"/>
    <col min="8464" max="8464" width="4.125" style="3" customWidth="1"/>
    <col min="8465" max="8465" width="6.625"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2.625" style="3" customWidth="1"/>
    <col min="8718" max="8718" width="0" style="3" hidden="1" customWidth="1"/>
    <col min="8719" max="8719" width="12.625" style="3" customWidth="1"/>
    <col min="8720" max="8720" width="4.125" style="3" customWidth="1"/>
    <col min="8721" max="8721" width="6.625"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2.625" style="3" customWidth="1"/>
    <col min="8974" max="8974" width="0" style="3" hidden="1" customWidth="1"/>
    <col min="8975" max="8975" width="12.625" style="3" customWidth="1"/>
    <col min="8976" max="8976" width="4.125" style="3" customWidth="1"/>
    <col min="8977" max="8977" width="6.625"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2.625" style="3" customWidth="1"/>
    <col min="9230" max="9230" width="0" style="3" hidden="1" customWidth="1"/>
    <col min="9231" max="9231" width="12.625" style="3" customWidth="1"/>
    <col min="9232" max="9232" width="4.125" style="3" customWidth="1"/>
    <col min="9233" max="9233" width="6.625"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2.625" style="3" customWidth="1"/>
    <col min="9486" max="9486" width="0" style="3" hidden="1" customWidth="1"/>
    <col min="9487" max="9487" width="12.625" style="3" customWidth="1"/>
    <col min="9488" max="9488" width="4.125" style="3" customWidth="1"/>
    <col min="9489" max="9489" width="6.625"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2.625" style="3" customWidth="1"/>
    <col min="9742" max="9742" width="0" style="3" hidden="1" customWidth="1"/>
    <col min="9743" max="9743" width="12.625" style="3" customWidth="1"/>
    <col min="9744" max="9744" width="4.125" style="3" customWidth="1"/>
    <col min="9745" max="9745" width="6.625"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2.625" style="3" customWidth="1"/>
    <col min="9998" max="9998" width="0" style="3" hidden="1" customWidth="1"/>
    <col min="9999" max="9999" width="12.625" style="3" customWidth="1"/>
    <col min="10000" max="10000" width="4.125" style="3" customWidth="1"/>
    <col min="10001" max="10001" width="6.625"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2.625" style="3" customWidth="1"/>
    <col min="10254" max="10254" width="0" style="3" hidden="1" customWidth="1"/>
    <col min="10255" max="10255" width="12.625" style="3" customWidth="1"/>
    <col min="10256" max="10256" width="4.125" style="3" customWidth="1"/>
    <col min="10257" max="10257" width="6.625"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2.625" style="3" customWidth="1"/>
    <col min="10510" max="10510" width="0" style="3" hidden="1" customWidth="1"/>
    <col min="10511" max="10511" width="12.625" style="3" customWidth="1"/>
    <col min="10512" max="10512" width="4.125" style="3" customWidth="1"/>
    <col min="10513" max="10513" width="6.625"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2.625" style="3" customWidth="1"/>
    <col min="10766" max="10766" width="0" style="3" hidden="1" customWidth="1"/>
    <col min="10767" max="10767" width="12.625" style="3" customWidth="1"/>
    <col min="10768" max="10768" width="4.125" style="3" customWidth="1"/>
    <col min="10769" max="10769" width="6.625"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2.625" style="3" customWidth="1"/>
    <col min="11022" max="11022" width="0" style="3" hidden="1" customWidth="1"/>
    <col min="11023" max="11023" width="12.625" style="3" customWidth="1"/>
    <col min="11024" max="11024" width="4.125" style="3" customWidth="1"/>
    <col min="11025" max="11025" width="6.625"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2.625" style="3" customWidth="1"/>
    <col min="11278" max="11278" width="0" style="3" hidden="1" customWidth="1"/>
    <col min="11279" max="11279" width="12.625" style="3" customWidth="1"/>
    <col min="11280" max="11280" width="4.125" style="3" customWidth="1"/>
    <col min="11281" max="11281" width="6.625"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2.625" style="3" customWidth="1"/>
    <col min="11534" max="11534" width="0" style="3" hidden="1" customWidth="1"/>
    <col min="11535" max="11535" width="12.625" style="3" customWidth="1"/>
    <col min="11536" max="11536" width="4.125" style="3" customWidth="1"/>
    <col min="11537" max="11537" width="6.625"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2.625" style="3" customWidth="1"/>
    <col min="11790" max="11790" width="0" style="3" hidden="1" customWidth="1"/>
    <col min="11791" max="11791" width="12.625" style="3" customWidth="1"/>
    <col min="11792" max="11792" width="4.125" style="3" customWidth="1"/>
    <col min="11793" max="11793" width="6.625"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2.625" style="3" customWidth="1"/>
    <col min="12046" max="12046" width="0" style="3" hidden="1" customWidth="1"/>
    <col min="12047" max="12047" width="12.625" style="3" customWidth="1"/>
    <col min="12048" max="12048" width="4.125" style="3" customWidth="1"/>
    <col min="12049" max="12049" width="6.625"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2.625" style="3" customWidth="1"/>
    <col min="12302" max="12302" width="0" style="3" hidden="1" customWidth="1"/>
    <col min="12303" max="12303" width="12.625" style="3" customWidth="1"/>
    <col min="12304" max="12304" width="4.125" style="3" customWidth="1"/>
    <col min="12305" max="12305" width="6.625"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2.625" style="3" customWidth="1"/>
    <col min="12558" max="12558" width="0" style="3" hidden="1" customWidth="1"/>
    <col min="12559" max="12559" width="12.625" style="3" customWidth="1"/>
    <col min="12560" max="12560" width="4.125" style="3" customWidth="1"/>
    <col min="12561" max="12561" width="6.625"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2.625" style="3" customWidth="1"/>
    <col min="12814" max="12814" width="0" style="3" hidden="1" customWidth="1"/>
    <col min="12815" max="12815" width="12.625" style="3" customWidth="1"/>
    <col min="12816" max="12816" width="4.125" style="3" customWidth="1"/>
    <col min="12817" max="12817" width="6.625"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2.625" style="3" customWidth="1"/>
    <col min="13070" max="13070" width="0" style="3" hidden="1" customWidth="1"/>
    <col min="13071" max="13071" width="12.625" style="3" customWidth="1"/>
    <col min="13072" max="13072" width="4.125" style="3" customWidth="1"/>
    <col min="13073" max="13073" width="6.625"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2.625" style="3" customWidth="1"/>
    <col min="13326" max="13326" width="0" style="3" hidden="1" customWidth="1"/>
    <col min="13327" max="13327" width="12.625" style="3" customWidth="1"/>
    <col min="13328" max="13328" width="4.125" style="3" customWidth="1"/>
    <col min="13329" max="13329" width="6.625"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2.625" style="3" customWidth="1"/>
    <col min="13582" max="13582" width="0" style="3" hidden="1" customWidth="1"/>
    <col min="13583" max="13583" width="12.625" style="3" customWidth="1"/>
    <col min="13584" max="13584" width="4.125" style="3" customWidth="1"/>
    <col min="13585" max="13585" width="6.625"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2.625" style="3" customWidth="1"/>
    <col min="13838" max="13838" width="0" style="3" hidden="1" customWidth="1"/>
    <col min="13839" max="13839" width="12.625" style="3" customWidth="1"/>
    <col min="13840" max="13840" width="4.125" style="3" customWidth="1"/>
    <col min="13841" max="13841" width="6.625"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2.625" style="3" customWidth="1"/>
    <col min="14094" max="14094" width="0" style="3" hidden="1" customWidth="1"/>
    <col min="14095" max="14095" width="12.625" style="3" customWidth="1"/>
    <col min="14096" max="14096" width="4.125" style="3" customWidth="1"/>
    <col min="14097" max="14097" width="6.625"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2.625" style="3" customWidth="1"/>
    <col min="14350" max="14350" width="0" style="3" hidden="1" customWidth="1"/>
    <col min="14351" max="14351" width="12.625" style="3" customWidth="1"/>
    <col min="14352" max="14352" width="4.125" style="3" customWidth="1"/>
    <col min="14353" max="14353" width="6.625"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2.625" style="3" customWidth="1"/>
    <col min="14606" max="14606" width="0" style="3" hidden="1" customWidth="1"/>
    <col min="14607" max="14607" width="12.625" style="3" customWidth="1"/>
    <col min="14608" max="14608" width="4.125" style="3" customWidth="1"/>
    <col min="14609" max="14609" width="6.625"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2.625" style="3" customWidth="1"/>
    <col min="14862" max="14862" width="0" style="3" hidden="1" customWidth="1"/>
    <col min="14863" max="14863" width="12.625" style="3" customWidth="1"/>
    <col min="14864" max="14864" width="4.125" style="3" customWidth="1"/>
    <col min="14865" max="14865" width="6.625"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2.625" style="3" customWidth="1"/>
    <col min="15118" max="15118" width="0" style="3" hidden="1" customWidth="1"/>
    <col min="15119" max="15119" width="12.625" style="3" customWidth="1"/>
    <col min="15120" max="15120" width="4.125" style="3" customWidth="1"/>
    <col min="15121" max="15121" width="6.625"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2.625" style="3" customWidth="1"/>
    <col min="15374" max="15374" width="0" style="3" hidden="1" customWidth="1"/>
    <col min="15375" max="15375" width="12.625" style="3" customWidth="1"/>
    <col min="15376" max="15376" width="4.125" style="3" customWidth="1"/>
    <col min="15377" max="15377" width="6.625"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2.625" style="3" customWidth="1"/>
    <col min="15630" max="15630" width="0" style="3" hidden="1" customWidth="1"/>
    <col min="15631" max="15631" width="12.625" style="3" customWidth="1"/>
    <col min="15632" max="15632" width="4.125" style="3" customWidth="1"/>
    <col min="15633" max="15633" width="6.625"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2.625" style="3" customWidth="1"/>
    <col min="15886" max="15886" width="0" style="3" hidden="1" customWidth="1"/>
    <col min="15887" max="15887" width="12.625" style="3" customWidth="1"/>
    <col min="15888" max="15888" width="4.125" style="3" customWidth="1"/>
    <col min="15889" max="15889" width="6.625"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2.625" style="3" customWidth="1"/>
    <col min="16142" max="16142" width="0" style="3" hidden="1" customWidth="1"/>
    <col min="16143" max="16143" width="12.625" style="3" customWidth="1"/>
    <col min="16144" max="16144" width="4.125" style="3" customWidth="1"/>
    <col min="16145" max="16145" width="6.625" style="3" bestFit="1" customWidth="1"/>
    <col min="16146" max="16384" width="9" style="3"/>
  </cols>
  <sheetData>
    <row r="1" spans="1:17" ht="13.5" customHeight="1" x14ac:dyDescent="0.15">
      <c r="A1" s="481" t="s">
        <v>71</v>
      </c>
      <c r="B1" s="481"/>
      <c r="C1" s="481"/>
      <c r="D1" s="481"/>
      <c r="E1" s="481"/>
      <c r="F1" s="481"/>
      <c r="G1" s="481"/>
      <c r="H1" s="481"/>
      <c r="I1" s="481"/>
      <c r="J1" s="481"/>
      <c r="K1" s="481"/>
      <c r="L1" s="481"/>
      <c r="M1" s="481"/>
      <c r="N1" s="481"/>
      <c r="O1" s="481"/>
      <c r="P1" s="481"/>
      <c r="Q1" s="129"/>
    </row>
    <row r="2" spans="1:17" ht="13.5" customHeight="1" x14ac:dyDescent="0.15">
      <c r="B2" s="130"/>
      <c r="D2" s="130"/>
      <c r="E2" s="130"/>
      <c r="F2" s="130"/>
      <c r="G2" s="130"/>
      <c r="H2" s="130"/>
      <c r="M2" s="16"/>
      <c r="N2" s="16"/>
      <c r="O2" s="16"/>
      <c r="P2" s="16"/>
      <c r="Q2" s="16"/>
    </row>
    <row r="3" spans="1:17" ht="13.5" customHeight="1" x14ac:dyDescent="0.15">
      <c r="B3" s="130"/>
      <c r="D3" s="130"/>
      <c r="E3" s="130"/>
      <c r="F3" s="130"/>
      <c r="G3" s="130"/>
      <c r="H3" s="130"/>
      <c r="J3" s="16"/>
      <c r="K3" s="16"/>
      <c r="L3" s="16"/>
      <c r="M3" s="16"/>
      <c r="N3" s="16"/>
      <c r="O3" s="16"/>
      <c r="P3" s="16"/>
      <c r="Q3" s="16"/>
    </row>
    <row r="4" spans="1:17" ht="13.5" customHeight="1" x14ac:dyDescent="0.15">
      <c r="B4" s="130"/>
      <c r="D4" s="130"/>
      <c r="E4" s="130"/>
      <c r="F4" s="130"/>
      <c r="G4" s="130"/>
      <c r="H4" s="130"/>
      <c r="N4" s="131"/>
      <c r="O4" s="131"/>
      <c r="P4" s="131"/>
      <c r="Q4" s="131"/>
    </row>
    <row r="5" spans="1:17" ht="13.5" customHeight="1" x14ac:dyDescent="0.15">
      <c r="C5" s="130"/>
      <c r="D5" s="130"/>
      <c r="E5" s="130"/>
      <c r="F5" s="130"/>
      <c r="G5" s="130"/>
      <c r="H5" s="130"/>
      <c r="M5" s="16"/>
      <c r="N5" s="16"/>
      <c r="O5" s="16"/>
      <c r="P5" s="16"/>
      <c r="Q5" s="16"/>
    </row>
    <row r="6" spans="1:17" ht="13.5" customHeight="1" x14ac:dyDescent="0.15">
      <c r="C6" s="130"/>
      <c r="D6" s="130"/>
      <c r="E6" s="130"/>
      <c r="F6" s="130"/>
      <c r="G6" s="130"/>
      <c r="H6" s="130"/>
      <c r="M6" s="16"/>
      <c r="N6" s="16"/>
      <c r="O6" s="16"/>
      <c r="P6" s="16"/>
      <c r="Q6" s="16"/>
    </row>
    <row r="7" spans="1:17" ht="18.75" customHeight="1" x14ac:dyDescent="0.15">
      <c r="B7" s="370"/>
      <c r="C7" s="370"/>
      <c r="D7" s="370"/>
      <c r="E7" s="132" t="s">
        <v>72</v>
      </c>
      <c r="F7" s="7"/>
      <c r="G7" s="7"/>
    </row>
    <row r="8" spans="1:17" x14ac:dyDescent="0.15">
      <c r="C8" s="9"/>
      <c r="E8" s="9"/>
      <c r="F8" s="9"/>
      <c r="G8" s="9"/>
      <c r="H8" s="9"/>
    </row>
    <row r="9" spans="1:17" ht="17.25" x14ac:dyDescent="0.15">
      <c r="D9" s="9"/>
      <c r="E9" s="9"/>
      <c r="F9" s="9"/>
      <c r="G9" s="9"/>
      <c r="H9" s="9"/>
      <c r="J9" s="133" t="s">
        <v>73</v>
      </c>
    </row>
    <row r="10" spans="1:17" ht="14.25" customHeight="1" x14ac:dyDescent="0.15">
      <c r="D10" s="9"/>
      <c r="E10" s="9"/>
      <c r="F10" s="9"/>
      <c r="G10" s="9"/>
      <c r="H10" s="9"/>
      <c r="J10" s="133"/>
    </row>
    <row r="11" spans="1:17" ht="14.25" customHeight="1" x14ac:dyDescent="0.15">
      <c r="D11" s="9"/>
      <c r="E11" s="9"/>
      <c r="F11" s="9"/>
      <c r="G11" s="9"/>
      <c r="H11" s="9"/>
      <c r="J11" s="133"/>
      <c r="M11" s="134" t="s">
        <v>74</v>
      </c>
      <c r="N11" s="482"/>
      <c r="O11" s="482"/>
      <c r="P11" s="482"/>
    </row>
    <row r="12" spans="1:17" ht="14.25" customHeight="1" x14ac:dyDescent="0.15">
      <c r="D12" s="9"/>
      <c r="E12" s="9"/>
      <c r="F12" s="9"/>
      <c r="G12" s="9"/>
      <c r="H12" s="9"/>
      <c r="J12" s="133"/>
      <c r="N12" s="483"/>
      <c r="O12" s="483"/>
      <c r="P12" s="483"/>
      <c r="Q12" s="135" t="s">
        <v>75</v>
      </c>
    </row>
    <row r="13" spans="1:17" s="136" customFormat="1" ht="10.5" x14ac:dyDescent="0.15">
      <c r="B13" s="137" t="s">
        <v>76</v>
      </c>
      <c r="C13" s="137"/>
      <c r="D13" s="137"/>
      <c r="E13" s="137"/>
      <c r="F13" s="137"/>
      <c r="G13" s="137"/>
      <c r="H13" s="137"/>
      <c r="I13" s="137"/>
      <c r="J13" s="137"/>
      <c r="K13" s="137"/>
      <c r="L13" s="137"/>
      <c r="M13" s="137"/>
      <c r="N13" s="137"/>
      <c r="O13" s="137"/>
      <c r="P13" s="137"/>
      <c r="Q13" s="137"/>
    </row>
    <row r="14" spans="1:17" s="136" customFormat="1" ht="10.5" x14ac:dyDescent="0.15">
      <c r="B14" s="137" t="s">
        <v>77</v>
      </c>
      <c r="C14" s="137"/>
      <c r="D14" s="137"/>
      <c r="E14" s="137"/>
      <c r="F14" s="137"/>
      <c r="G14" s="137"/>
      <c r="H14" s="137"/>
      <c r="I14" s="137"/>
      <c r="J14" s="137"/>
      <c r="K14" s="137"/>
      <c r="L14" s="137"/>
      <c r="M14" s="137"/>
      <c r="N14" s="137"/>
      <c r="O14" s="137"/>
      <c r="P14" s="137"/>
      <c r="Q14" s="137"/>
    </row>
    <row r="15" spans="1:17" s="136" customFormat="1" ht="10.5" x14ac:dyDescent="0.15">
      <c r="B15" s="137" t="s">
        <v>78</v>
      </c>
      <c r="C15" s="137"/>
      <c r="D15" s="137"/>
      <c r="E15" s="137"/>
      <c r="F15" s="137"/>
      <c r="G15" s="137"/>
      <c r="H15" s="137"/>
      <c r="I15" s="137"/>
      <c r="J15" s="137"/>
      <c r="K15" s="137"/>
      <c r="L15" s="137"/>
      <c r="M15" s="137"/>
      <c r="N15" s="137"/>
      <c r="O15" s="137"/>
      <c r="P15" s="137"/>
      <c r="Q15" s="137"/>
    </row>
    <row r="16" spans="1:17" s="136" customFormat="1" ht="10.5" x14ac:dyDescent="0.15">
      <c r="B16" s="137" t="s">
        <v>79</v>
      </c>
      <c r="C16" s="137"/>
      <c r="D16" s="137"/>
      <c r="E16" s="137"/>
      <c r="F16" s="137"/>
      <c r="G16" s="137"/>
      <c r="H16" s="137"/>
      <c r="I16" s="137"/>
      <c r="J16" s="137"/>
      <c r="K16" s="137"/>
      <c r="L16" s="137"/>
      <c r="M16" s="137"/>
      <c r="N16" s="137"/>
      <c r="O16" s="137"/>
      <c r="P16" s="137"/>
      <c r="Q16" s="137"/>
    </row>
    <row r="17" spans="1:17" s="136" customFormat="1" ht="10.5" x14ac:dyDescent="0.15">
      <c r="B17" s="137"/>
      <c r="C17" s="137"/>
      <c r="D17" s="137"/>
      <c r="E17" s="137"/>
      <c r="F17" s="137"/>
      <c r="G17" s="137"/>
      <c r="H17" s="137"/>
      <c r="I17" s="137"/>
      <c r="J17" s="137"/>
      <c r="K17" s="137"/>
      <c r="L17" s="137"/>
      <c r="M17" s="137"/>
      <c r="N17" s="137"/>
      <c r="O17" s="137"/>
      <c r="P17" s="137"/>
      <c r="Q17" s="137"/>
    </row>
    <row r="18" spans="1:17" ht="9.9499999999999993" customHeight="1" x14ac:dyDescent="0.15">
      <c r="B18" s="138"/>
      <c r="C18" s="138"/>
      <c r="D18" s="138"/>
      <c r="E18" s="138"/>
      <c r="F18" s="138"/>
      <c r="G18" s="138"/>
      <c r="H18" s="138"/>
      <c r="I18" s="138"/>
      <c r="J18" s="138"/>
      <c r="K18" s="138"/>
      <c r="L18" s="138"/>
      <c r="M18" s="138"/>
      <c r="N18" s="138"/>
      <c r="O18" s="138"/>
      <c r="P18" s="138"/>
      <c r="Q18" s="138"/>
    </row>
    <row r="19" spans="1:17" s="139" customFormat="1" ht="13.5" customHeight="1" x14ac:dyDescent="0.15">
      <c r="B19" s="140"/>
      <c r="C19" s="140"/>
      <c r="D19" s="140"/>
      <c r="F19" s="134"/>
      <c r="H19" s="134"/>
      <c r="I19" s="134"/>
      <c r="J19" s="141"/>
      <c r="K19" s="141"/>
      <c r="L19" s="141"/>
      <c r="M19" s="141"/>
      <c r="N19" s="141"/>
      <c r="O19" s="140"/>
      <c r="P19" s="140"/>
      <c r="Q19" s="140"/>
    </row>
    <row r="20" spans="1:17" x14ac:dyDescent="0.15">
      <c r="A20" s="136"/>
      <c r="B20" s="484" t="s">
        <v>80</v>
      </c>
      <c r="C20" s="484"/>
      <c r="D20" s="484"/>
      <c r="E20" s="485"/>
      <c r="F20" s="485"/>
      <c r="G20" s="144"/>
      <c r="H20" s="144"/>
      <c r="I20" s="144"/>
      <c r="J20" s="143"/>
      <c r="K20" s="143"/>
      <c r="L20" s="143"/>
      <c r="M20" s="143"/>
      <c r="N20" s="143"/>
      <c r="O20" s="136"/>
      <c r="P20" s="136"/>
      <c r="Q20" s="143"/>
    </row>
    <row r="21" spans="1:17" s="140" customFormat="1" ht="13.5" customHeight="1" x14ac:dyDescent="0.15">
      <c r="A21" s="143"/>
      <c r="B21" s="472" t="s">
        <v>81</v>
      </c>
      <c r="C21" s="472"/>
      <c r="D21" s="472"/>
      <c r="E21" s="472" t="s">
        <v>82</v>
      </c>
      <c r="F21" s="472"/>
      <c r="G21" s="472"/>
      <c r="H21" s="472"/>
      <c r="I21" s="472"/>
      <c r="J21" s="465" t="s">
        <v>83</v>
      </c>
      <c r="K21" s="479" t="s">
        <v>84</v>
      </c>
      <c r="L21" s="479"/>
      <c r="M21" s="148"/>
      <c r="N21" s="143"/>
      <c r="O21" s="143"/>
      <c r="P21" s="143"/>
      <c r="Q21" s="143"/>
    </row>
    <row r="22" spans="1:17" s="140" customFormat="1" ht="13.5" customHeight="1" x14ac:dyDescent="0.15">
      <c r="A22" s="143"/>
      <c r="B22" s="145" t="s">
        <v>85</v>
      </c>
      <c r="C22" s="145" t="s">
        <v>86</v>
      </c>
      <c r="D22" s="145" t="s">
        <v>87</v>
      </c>
      <c r="E22" s="472" t="s">
        <v>59</v>
      </c>
      <c r="F22" s="472"/>
      <c r="G22" s="145" t="s">
        <v>60</v>
      </c>
      <c r="H22" s="472" t="s">
        <v>88</v>
      </c>
      <c r="I22" s="472"/>
      <c r="J22" s="465"/>
      <c r="K22" s="480" t="s">
        <v>89</v>
      </c>
      <c r="L22" s="480"/>
      <c r="M22" s="148"/>
      <c r="N22" s="143"/>
      <c r="O22" s="143"/>
      <c r="P22" s="143"/>
      <c r="Q22" s="143"/>
    </row>
    <row r="23" spans="1:17" s="140" customFormat="1" ht="13.5" customHeight="1" x14ac:dyDescent="0.15">
      <c r="A23" s="143"/>
      <c r="B23" s="150"/>
      <c r="C23" s="150"/>
      <c r="D23" s="150">
        <f>SUM(B23:C23)</f>
        <v>0</v>
      </c>
      <c r="E23" s="466"/>
      <c r="F23" s="466"/>
      <c r="G23" s="150"/>
      <c r="H23" s="467">
        <f>SUM(G23+E23)</f>
        <v>0</v>
      </c>
      <c r="I23" s="467"/>
      <c r="J23" s="150"/>
      <c r="K23" s="468">
        <f>SUM(H23-D23+J23)</f>
        <v>0</v>
      </c>
      <c r="L23" s="469"/>
      <c r="M23" s="151"/>
      <c r="N23" s="152"/>
      <c r="O23" s="153"/>
      <c r="P23" s="143"/>
      <c r="Q23" s="143"/>
    </row>
    <row r="24" spans="1:17" ht="9.9499999999999993" customHeight="1" x14ac:dyDescent="0.15">
      <c r="A24" s="136"/>
      <c r="B24" s="136"/>
      <c r="C24" s="136"/>
      <c r="D24" s="136"/>
      <c r="E24" s="136"/>
      <c r="F24" s="136"/>
      <c r="G24" s="136"/>
      <c r="H24" s="136"/>
      <c r="I24" s="136"/>
      <c r="J24" s="136"/>
      <c r="K24" s="136"/>
      <c r="L24" s="136"/>
      <c r="M24" s="136"/>
      <c r="N24" s="136"/>
      <c r="O24" s="136"/>
      <c r="P24" s="136"/>
      <c r="Q24" s="136"/>
    </row>
    <row r="25" spans="1:17" x14ac:dyDescent="0.15">
      <c r="A25" s="136"/>
      <c r="B25" s="470" t="s">
        <v>90</v>
      </c>
      <c r="C25" s="470"/>
      <c r="D25" s="470"/>
      <c r="E25" s="471"/>
      <c r="F25" s="471"/>
      <c r="G25" s="471"/>
      <c r="H25" s="471"/>
      <c r="I25" s="471"/>
      <c r="J25" s="136"/>
      <c r="K25" s="136"/>
      <c r="L25" s="136"/>
      <c r="M25" s="136"/>
      <c r="N25" s="136"/>
      <c r="O25" s="136"/>
      <c r="P25" s="136"/>
      <c r="Q25" s="136"/>
    </row>
    <row r="26" spans="1:17" ht="13.5" customHeight="1" x14ac:dyDescent="0.15">
      <c r="A26" s="472" t="s">
        <v>91</v>
      </c>
      <c r="B26" s="453" t="s">
        <v>92</v>
      </c>
      <c r="C26" s="473"/>
      <c r="D26" s="476" t="s">
        <v>93</v>
      </c>
      <c r="E26" s="477" t="s">
        <v>94</v>
      </c>
      <c r="F26" s="478"/>
      <c r="G26" s="472" t="s">
        <v>95</v>
      </c>
      <c r="H26" s="453" t="s">
        <v>96</v>
      </c>
      <c r="I26" s="454"/>
      <c r="J26" s="463" t="s">
        <v>97</v>
      </c>
      <c r="K26" s="463" t="s">
        <v>98</v>
      </c>
      <c r="L26" s="463" t="s">
        <v>99</v>
      </c>
      <c r="M26" s="463" t="s">
        <v>100</v>
      </c>
      <c r="N26" s="465" t="s">
        <v>101</v>
      </c>
      <c r="O26" s="453" t="s">
        <v>102</v>
      </c>
      <c r="P26" s="454"/>
      <c r="Q26" s="136"/>
    </row>
    <row r="27" spans="1:17" x14ac:dyDescent="0.15">
      <c r="A27" s="472"/>
      <c r="B27" s="474"/>
      <c r="C27" s="475"/>
      <c r="D27" s="474"/>
      <c r="E27" s="145" t="s">
        <v>19</v>
      </c>
      <c r="F27" s="145" t="s">
        <v>20</v>
      </c>
      <c r="G27" s="472"/>
      <c r="H27" s="455"/>
      <c r="I27" s="456"/>
      <c r="J27" s="464"/>
      <c r="K27" s="464"/>
      <c r="L27" s="464"/>
      <c r="M27" s="464"/>
      <c r="N27" s="465"/>
      <c r="O27" s="455"/>
      <c r="P27" s="456"/>
      <c r="Q27" s="136"/>
    </row>
    <row r="28" spans="1:17" ht="27" customHeight="1" x14ac:dyDescent="0.15">
      <c r="A28" s="157"/>
      <c r="B28" s="457"/>
      <c r="C28" s="458"/>
      <c r="D28" s="158"/>
      <c r="E28" s="159"/>
      <c r="F28" s="147"/>
      <c r="G28" s="160"/>
      <c r="H28" s="459"/>
      <c r="I28" s="460"/>
      <c r="J28" s="161"/>
      <c r="K28" s="162"/>
      <c r="L28" s="163"/>
      <c r="M28" s="163"/>
      <c r="N28" s="163"/>
      <c r="O28" s="461"/>
      <c r="P28" s="462"/>
      <c r="Q28" s="136"/>
    </row>
    <row r="29" spans="1:17" ht="27" customHeight="1" x14ac:dyDescent="0.15">
      <c r="A29" s="164"/>
      <c r="B29" s="436"/>
      <c r="C29" s="437"/>
      <c r="D29" s="165"/>
      <c r="E29" s="166"/>
      <c r="F29" s="166"/>
      <c r="G29" s="167"/>
      <c r="H29" s="438"/>
      <c r="I29" s="439"/>
      <c r="J29" s="168"/>
      <c r="K29" s="169"/>
      <c r="L29" s="170"/>
      <c r="M29" s="170"/>
      <c r="N29" s="170"/>
      <c r="O29" s="440"/>
      <c r="P29" s="441"/>
      <c r="Q29" s="136"/>
    </row>
    <row r="30" spans="1:17" ht="27" customHeight="1" x14ac:dyDescent="0.15">
      <c r="A30" s="164"/>
      <c r="B30" s="436"/>
      <c r="C30" s="437"/>
      <c r="D30" s="165"/>
      <c r="E30" s="166"/>
      <c r="F30" s="166"/>
      <c r="G30" s="167"/>
      <c r="H30" s="438"/>
      <c r="I30" s="439"/>
      <c r="J30" s="168"/>
      <c r="K30" s="169"/>
      <c r="L30" s="170"/>
      <c r="M30" s="170"/>
      <c r="N30" s="170"/>
      <c r="O30" s="440"/>
      <c r="P30" s="441"/>
      <c r="Q30" s="136"/>
    </row>
    <row r="31" spans="1:17" ht="27" customHeight="1" x14ac:dyDescent="0.15">
      <c r="A31" s="164"/>
      <c r="B31" s="436"/>
      <c r="C31" s="437"/>
      <c r="D31" s="165"/>
      <c r="E31" s="166"/>
      <c r="F31" s="166"/>
      <c r="G31" s="171"/>
      <c r="H31" s="451"/>
      <c r="I31" s="452"/>
      <c r="J31" s="168"/>
      <c r="K31" s="169"/>
      <c r="L31" s="170"/>
      <c r="M31" s="170"/>
      <c r="N31" s="170"/>
      <c r="O31" s="440"/>
      <c r="P31" s="441"/>
      <c r="Q31" s="136"/>
    </row>
    <row r="32" spans="1:17" ht="27" customHeight="1" x14ac:dyDescent="0.15">
      <c r="A32" s="164"/>
      <c r="B32" s="436"/>
      <c r="C32" s="437"/>
      <c r="D32" s="165"/>
      <c r="E32" s="166"/>
      <c r="F32" s="166"/>
      <c r="G32" s="167"/>
      <c r="H32" s="438"/>
      <c r="I32" s="439"/>
      <c r="J32" s="168"/>
      <c r="K32" s="169"/>
      <c r="L32" s="170"/>
      <c r="M32" s="170"/>
      <c r="N32" s="170"/>
      <c r="O32" s="440"/>
      <c r="P32" s="441"/>
      <c r="Q32" s="136"/>
    </row>
    <row r="33" spans="1:17" ht="27" customHeight="1" x14ac:dyDescent="0.15">
      <c r="A33" s="164"/>
      <c r="B33" s="436"/>
      <c r="C33" s="437"/>
      <c r="D33" s="165"/>
      <c r="E33" s="172"/>
      <c r="F33" s="166"/>
      <c r="G33" s="167"/>
      <c r="H33" s="438"/>
      <c r="I33" s="439"/>
      <c r="J33" s="168"/>
      <c r="K33" s="169"/>
      <c r="L33" s="170"/>
      <c r="M33" s="170"/>
      <c r="N33" s="170"/>
      <c r="O33" s="440"/>
      <c r="P33" s="441"/>
      <c r="Q33" s="136"/>
    </row>
    <row r="34" spans="1:17" ht="27" customHeight="1" x14ac:dyDescent="0.15">
      <c r="A34" s="173"/>
      <c r="B34" s="442"/>
      <c r="C34" s="443"/>
      <c r="D34" s="174"/>
      <c r="E34" s="175"/>
      <c r="F34" s="175"/>
      <c r="G34" s="176"/>
      <c r="H34" s="444"/>
      <c r="I34" s="445"/>
      <c r="J34" s="177"/>
      <c r="K34" s="178"/>
      <c r="L34" s="179"/>
      <c r="M34" s="179"/>
      <c r="N34" s="179"/>
      <c r="O34" s="446"/>
      <c r="P34" s="447"/>
      <c r="Q34" s="136"/>
    </row>
    <row r="35" spans="1:17" x14ac:dyDescent="0.15">
      <c r="A35" s="448" t="s">
        <v>103</v>
      </c>
      <c r="B35" s="449"/>
      <c r="C35" s="449"/>
      <c r="D35" s="450"/>
      <c r="E35" s="180">
        <f>SUM(E28:E34)</f>
        <v>0</v>
      </c>
      <c r="F35" s="180">
        <f>SUM(F28:F34)</f>
        <v>0</v>
      </c>
      <c r="H35" s="143"/>
      <c r="I35" s="136"/>
      <c r="J35" s="181"/>
      <c r="K35" s="182"/>
      <c r="L35" s="183">
        <f>SUM(L28:L34)</f>
        <v>0</v>
      </c>
      <c r="M35" s="183">
        <f>SUM(M28:M34)</f>
        <v>0</v>
      </c>
      <c r="N35" s="183">
        <f>SUM(N28:N34)</f>
        <v>0</v>
      </c>
      <c r="O35" s="446">
        <f>SUM(L35-M35-N35)</f>
        <v>0</v>
      </c>
      <c r="P35" s="447"/>
      <c r="Q35" s="136"/>
    </row>
    <row r="36" spans="1:17" ht="5.0999999999999996" customHeight="1" x14ac:dyDescent="0.15">
      <c r="A36" s="136"/>
      <c r="B36" s="136"/>
      <c r="C36" s="136"/>
      <c r="D36" s="136"/>
      <c r="E36" s="136"/>
      <c r="F36" s="136"/>
      <c r="G36" s="136"/>
      <c r="H36" s="136"/>
      <c r="I36" s="136"/>
      <c r="J36" s="136"/>
      <c r="K36" s="136"/>
      <c r="L36" s="136"/>
      <c r="M36" s="136"/>
      <c r="N36" s="136"/>
      <c r="O36" s="136"/>
      <c r="P36" s="136"/>
      <c r="Q36" s="136"/>
    </row>
    <row r="37" spans="1:17" s="136" customFormat="1" ht="10.5" x14ac:dyDescent="0.15">
      <c r="H37" s="435"/>
      <c r="I37" s="435"/>
      <c r="J37" s="435"/>
      <c r="K37" s="435"/>
      <c r="L37" s="435"/>
      <c r="M37" s="435"/>
      <c r="N37" s="435"/>
      <c r="O37" s="435"/>
      <c r="P37" s="435"/>
    </row>
    <row r="38" spans="1:17" s="136" customFormat="1" ht="5.0999999999999996" customHeight="1" x14ac:dyDescent="0.15"/>
    <row r="39" spans="1:17" s="136" customFormat="1" ht="10.5" x14ac:dyDescent="0.15">
      <c r="B39" s="136" t="s">
        <v>104</v>
      </c>
    </row>
    <row r="40" spans="1:17" s="136" customFormat="1" ht="10.5" x14ac:dyDescent="0.15">
      <c r="B40" s="136" t="s">
        <v>105</v>
      </c>
    </row>
    <row r="41" spans="1:17" x14ac:dyDescent="0.15">
      <c r="A41" s="136"/>
      <c r="B41" s="136"/>
      <c r="C41" s="136"/>
      <c r="D41" s="136"/>
      <c r="E41" s="136"/>
      <c r="F41" s="136"/>
      <c r="G41" s="136"/>
      <c r="H41" s="136"/>
      <c r="I41" s="136"/>
      <c r="J41" s="136"/>
      <c r="K41" s="136"/>
      <c r="L41" s="136"/>
      <c r="M41" s="136"/>
      <c r="N41" s="136"/>
      <c r="O41" s="136"/>
      <c r="P41" s="136"/>
    </row>
    <row r="42" spans="1:17" x14ac:dyDescent="0.15">
      <c r="A42" s="136"/>
      <c r="B42" s="136"/>
      <c r="C42" s="136"/>
      <c r="D42" s="136"/>
      <c r="E42" s="136"/>
      <c r="F42" s="136"/>
      <c r="G42" s="136"/>
      <c r="H42" s="136"/>
      <c r="I42" s="136"/>
      <c r="J42" s="136"/>
      <c r="K42" s="136"/>
      <c r="L42" s="136"/>
      <c r="M42" s="136"/>
      <c r="N42" s="136"/>
      <c r="O42" s="136"/>
      <c r="P42" s="136"/>
    </row>
    <row r="43" spans="1:17" x14ac:dyDescent="0.15">
      <c r="A43" s="136"/>
      <c r="B43" s="136"/>
      <c r="C43" s="136"/>
      <c r="D43" s="136"/>
      <c r="E43" s="136"/>
      <c r="F43" s="136"/>
      <c r="G43" s="136"/>
      <c r="H43" s="136"/>
      <c r="I43" s="136"/>
      <c r="J43" s="136"/>
      <c r="K43" s="136"/>
      <c r="L43" s="136"/>
      <c r="M43" s="136"/>
      <c r="N43" s="136"/>
      <c r="O43" s="136"/>
      <c r="P43" s="136"/>
    </row>
    <row r="44" spans="1:17" x14ac:dyDescent="0.15">
      <c r="A44" s="136"/>
      <c r="B44" s="136"/>
      <c r="C44" s="136"/>
      <c r="D44" s="136"/>
      <c r="E44" s="136"/>
      <c r="F44" s="136"/>
      <c r="G44" s="136"/>
      <c r="H44" s="136"/>
      <c r="I44" s="136"/>
      <c r="J44" s="136"/>
      <c r="K44" s="136"/>
      <c r="L44" s="136"/>
      <c r="M44" s="136"/>
      <c r="N44" s="136"/>
      <c r="O44" s="136"/>
      <c r="P44" s="136"/>
    </row>
    <row r="45" spans="1:17" x14ac:dyDescent="0.15">
      <c r="A45" s="136"/>
      <c r="B45" s="16"/>
      <c r="C45" s="136"/>
      <c r="D45" s="136"/>
      <c r="E45" s="136"/>
      <c r="F45" s="136"/>
      <c r="G45" s="136"/>
      <c r="H45" s="136"/>
      <c r="I45" s="136"/>
      <c r="J45" s="136"/>
      <c r="K45" s="136"/>
      <c r="L45" s="136"/>
      <c r="M45" s="136"/>
      <c r="N45" s="136"/>
      <c r="O45" s="136"/>
      <c r="P45" s="136"/>
    </row>
    <row r="46" spans="1:17" x14ac:dyDescent="0.15">
      <c r="A46" s="136"/>
      <c r="B46" s="16"/>
      <c r="C46" s="136"/>
      <c r="D46" s="136"/>
      <c r="E46" s="136"/>
      <c r="F46" s="136"/>
      <c r="G46" s="136"/>
      <c r="H46" s="136"/>
      <c r="I46" s="136"/>
      <c r="J46" s="136"/>
      <c r="K46" s="136"/>
      <c r="L46" s="136"/>
      <c r="M46" s="136"/>
      <c r="N46" s="136"/>
      <c r="O46" s="136"/>
      <c r="P46" s="136"/>
    </row>
    <row r="47" spans="1:17" x14ac:dyDescent="0.15">
      <c r="A47" s="136"/>
      <c r="B47" s="16"/>
      <c r="C47" s="136"/>
      <c r="D47" s="136"/>
      <c r="E47" s="136"/>
      <c r="F47" s="136"/>
      <c r="G47" s="136"/>
      <c r="H47" s="136"/>
      <c r="I47" s="136"/>
      <c r="J47" s="136"/>
      <c r="K47" s="136"/>
      <c r="L47" s="136"/>
      <c r="M47" s="136"/>
      <c r="N47" s="136"/>
      <c r="O47" s="136"/>
      <c r="P47" s="136"/>
    </row>
    <row r="48" spans="1:17" x14ac:dyDescent="0.15">
      <c r="B48" s="185"/>
      <c r="C48" s="185"/>
      <c r="D48" s="185"/>
      <c r="E48" s="185"/>
      <c r="F48" s="185"/>
      <c r="G48" s="185"/>
      <c r="H48" s="185"/>
      <c r="I48" s="185"/>
      <c r="J48" s="185"/>
      <c r="K48" s="185"/>
      <c r="L48" s="185"/>
      <c r="M48" s="185"/>
      <c r="N48" s="185"/>
      <c r="O48" s="185"/>
    </row>
    <row r="49" spans="2:15" x14ac:dyDescent="0.15">
      <c r="B49" s="185"/>
      <c r="C49" s="185"/>
      <c r="D49" s="185"/>
      <c r="E49" s="185"/>
      <c r="F49" s="185"/>
      <c r="G49" s="185"/>
      <c r="H49" s="185"/>
      <c r="I49" s="185"/>
      <c r="J49" s="185"/>
      <c r="K49" s="185"/>
      <c r="L49" s="185"/>
      <c r="M49" s="185"/>
      <c r="N49" s="185"/>
      <c r="O49" s="185"/>
    </row>
    <row r="50" spans="2:15" x14ac:dyDescent="0.15">
      <c r="B50" s="185"/>
      <c r="C50" s="185"/>
      <c r="D50" s="185"/>
      <c r="E50" s="185"/>
      <c r="F50" s="185"/>
      <c r="G50" s="185"/>
      <c r="H50" s="185"/>
      <c r="I50" s="185"/>
      <c r="J50" s="185"/>
      <c r="K50" s="185"/>
      <c r="L50" s="185"/>
      <c r="M50" s="185"/>
      <c r="N50" s="185"/>
      <c r="O50" s="185"/>
    </row>
    <row r="51" spans="2:15" x14ac:dyDescent="0.15">
      <c r="B51" s="185"/>
      <c r="C51" s="185"/>
      <c r="D51" s="185"/>
      <c r="E51" s="185"/>
      <c r="F51" s="185"/>
      <c r="G51" s="185"/>
      <c r="H51" s="185"/>
      <c r="I51" s="185"/>
      <c r="J51" s="185"/>
      <c r="K51" s="185"/>
      <c r="L51" s="185"/>
      <c r="M51" s="185"/>
      <c r="N51" s="185"/>
      <c r="O51" s="185"/>
    </row>
    <row r="52" spans="2:15" x14ac:dyDescent="0.15">
      <c r="B52" s="185"/>
      <c r="C52" s="185"/>
      <c r="D52" s="185"/>
      <c r="E52" s="185"/>
      <c r="F52" s="185"/>
      <c r="G52" s="185"/>
      <c r="H52" s="185"/>
      <c r="I52" s="185"/>
      <c r="J52" s="185"/>
      <c r="K52" s="185"/>
      <c r="L52" s="185"/>
      <c r="M52" s="185"/>
      <c r="N52" s="185"/>
      <c r="O52" s="185"/>
    </row>
  </sheetData>
  <mergeCells count="54">
    <mergeCell ref="A1:P1"/>
    <mergeCell ref="B7:D7"/>
    <mergeCell ref="N11:P11"/>
    <mergeCell ref="N12:P12"/>
    <mergeCell ref="B20:D20"/>
    <mergeCell ref="E20:F20"/>
    <mergeCell ref="B21:D21"/>
    <mergeCell ref="E21:I21"/>
    <mergeCell ref="J21:J22"/>
    <mergeCell ref="K21:L21"/>
    <mergeCell ref="E22:F22"/>
    <mergeCell ref="H22:I22"/>
    <mergeCell ref="K22:L22"/>
    <mergeCell ref="A26:A27"/>
    <mergeCell ref="B26:C27"/>
    <mergeCell ref="D26:D27"/>
    <mergeCell ref="E26:F26"/>
    <mergeCell ref="G26:G27"/>
    <mergeCell ref="E23:F23"/>
    <mergeCell ref="H23:I23"/>
    <mergeCell ref="K23:L23"/>
    <mergeCell ref="B25:D25"/>
    <mergeCell ref="E25:I25"/>
    <mergeCell ref="O26:P27"/>
    <mergeCell ref="B28:C28"/>
    <mergeCell ref="H28:I28"/>
    <mergeCell ref="O28:P28"/>
    <mergeCell ref="B29:C29"/>
    <mergeCell ref="H29:I29"/>
    <mergeCell ref="O29:P29"/>
    <mergeCell ref="H26:I27"/>
    <mergeCell ref="J26:J27"/>
    <mergeCell ref="K26:K27"/>
    <mergeCell ref="L26:L27"/>
    <mergeCell ref="M26:M27"/>
    <mergeCell ref="N26:N27"/>
    <mergeCell ref="B30:C30"/>
    <mergeCell ref="H30:I30"/>
    <mergeCell ref="O30:P30"/>
    <mergeCell ref="B31:C31"/>
    <mergeCell ref="H31:I31"/>
    <mergeCell ref="O31:P31"/>
    <mergeCell ref="H37:P37"/>
    <mergeCell ref="B32:C32"/>
    <mergeCell ref="H32:I32"/>
    <mergeCell ref="O32:P32"/>
    <mergeCell ref="B33:C33"/>
    <mergeCell ref="H33:I33"/>
    <mergeCell ref="O33:P33"/>
    <mergeCell ref="B34:C34"/>
    <mergeCell ref="H34:I34"/>
    <mergeCell ref="O34:P34"/>
    <mergeCell ref="A35:D35"/>
    <mergeCell ref="O35:P35"/>
  </mergeCells>
  <phoneticPr fontId="3"/>
  <pageMargins left="0.78740157480314965" right="0.39370078740157483" top="0.39370078740157483" bottom="0.19685039370078741" header="0.51181102362204722" footer="0.19685039370078741"/>
  <pageSetup paperSize="9"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2E582-3EDF-4F4B-8FC5-F173F3C14B43}">
  <sheetPr codeName="Sheet7"/>
  <dimension ref="A1:Q102"/>
  <sheetViews>
    <sheetView zoomScaleNormal="100" workbookViewId="0">
      <selection activeCell="V19" sqref="V19"/>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2.625" style="3" customWidth="1"/>
    <col min="14" max="14" width="8.625" style="3" hidden="1" customWidth="1"/>
    <col min="15" max="15" width="12.625" style="3" customWidth="1"/>
    <col min="16" max="16" width="4.125" style="3" customWidth="1"/>
    <col min="17" max="17" width="6.625"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2.625" style="3" customWidth="1"/>
    <col min="270" max="270" width="0" style="3" hidden="1" customWidth="1"/>
    <col min="271" max="271" width="12.625" style="3" customWidth="1"/>
    <col min="272" max="272" width="4.125" style="3" customWidth="1"/>
    <col min="273" max="273" width="6.625"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2.625" style="3" customWidth="1"/>
    <col min="526" max="526" width="0" style="3" hidden="1" customWidth="1"/>
    <col min="527" max="527" width="12.625" style="3" customWidth="1"/>
    <col min="528" max="528" width="4.125" style="3" customWidth="1"/>
    <col min="529" max="529" width="6.625"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2.625" style="3" customWidth="1"/>
    <col min="782" max="782" width="0" style="3" hidden="1" customWidth="1"/>
    <col min="783" max="783" width="12.625" style="3" customWidth="1"/>
    <col min="784" max="784" width="4.125" style="3" customWidth="1"/>
    <col min="785" max="785" width="6.625"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2.625" style="3" customWidth="1"/>
    <col min="1038" max="1038" width="0" style="3" hidden="1" customWidth="1"/>
    <col min="1039" max="1039" width="12.625" style="3" customWidth="1"/>
    <col min="1040" max="1040" width="4.125" style="3" customWidth="1"/>
    <col min="1041" max="1041" width="6.625"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2.625" style="3" customWidth="1"/>
    <col min="1294" max="1294" width="0" style="3" hidden="1" customWidth="1"/>
    <col min="1295" max="1295" width="12.625" style="3" customWidth="1"/>
    <col min="1296" max="1296" width="4.125" style="3" customWidth="1"/>
    <col min="1297" max="1297" width="6.625"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2.625" style="3" customWidth="1"/>
    <col min="1550" max="1550" width="0" style="3" hidden="1" customWidth="1"/>
    <col min="1551" max="1551" width="12.625" style="3" customWidth="1"/>
    <col min="1552" max="1552" width="4.125" style="3" customWidth="1"/>
    <col min="1553" max="1553" width="6.625"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2.625" style="3" customWidth="1"/>
    <col min="1806" max="1806" width="0" style="3" hidden="1" customWidth="1"/>
    <col min="1807" max="1807" width="12.625" style="3" customWidth="1"/>
    <col min="1808" max="1808" width="4.125" style="3" customWidth="1"/>
    <col min="1809" max="1809" width="6.625"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2.625" style="3" customWidth="1"/>
    <col min="2062" max="2062" width="0" style="3" hidden="1" customWidth="1"/>
    <col min="2063" max="2063" width="12.625" style="3" customWidth="1"/>
    <col min="2064" max="2064" width="4.125" style="3" customWidth="1"/>
    <col min="2065" max="2065" width="6.625"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2.625" style="3" customWidth="1"/>
    <col min="2318" max="2318" width="0" style="3" hidden="1" customWidth="1"/>
    <col min="2319" max="2319" width="12.625" style="3" customWidth="1"/>
    <col min="2320" max="2320" width="4.125" style="3" customWidth="1"/>
    <col min="2321" max="2321" width="6.625"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2.625" style="3" customWidth="1"/>
    <col min="2574" max="2574" width="0" style="3" hidden="1" customWidth="1"/>
    <col min="2575" max="2575" width="12.625" style="3" customWidth="1"/>
    <col min="2576" max="2576" width="4.125" style="3" customWidth="1"/>
    <col min="2577" max="2577" width="6.625"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2.625" style="3" customWidth="1"/>
    <col min="2830" max="2830" width="0" style="3" hidden="1" customWidth="1"/>
    <col min="2831" max="2831" width="12.625" style="3" customWidth="1"/>
    <col min="2832" max="2832" width="4.125" style="3" customWidth="1"/>
    <col min="2833" max="2833" width="6.625"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2.625" style="3" customWidth="1"/>
    <col min="3086" max="3086" width="0" style="3" hidden="1" customWidth="1"/>
    <col min="3087" max="3087" width="12.625" style="3" customWidth="1"/>
    <col min="3088" max="3088" width="4.125" style="3" customWidth="1"/>
    <col min="3089" max="3089" width="6.625"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2.625" style="3" customWidth="1"/>
    <col min="3342" max="3342" width="0" style="3" hidden="1" customWidth="1"/>
    <col min="3343" max="3343" width="12.625" style="3" customWidth="1"/>
    <col min="3344" max="3344" width="4.125" style="3" customWidth="1"/>
    <col min="3345" max="3345" width="6.625"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2.625" style="3" customWidth="1"/>
    <col min="3598" max="3598" width="0" style="3" hidden="1" customWidth="1"/>
    <col min="3599" max="3599" width="12.625" style="3" customWidth="1"/>
    <col min="3600" max="3600" width="4.125" style="3" customWidth="1"/>
    <col min="3601" max="3601" width="6.625"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2.625" style="3" customWidth="1"/>
    <col min="3854" max="3854" width="0" style="3" hidden="1" customWidth="1"/>
    <col min="3855" max="3855" width="12.625" style="3" customWidth="1"/>
    <col min="3856" max="3856" width="4.125" style="3" customWidth="1"/>
    <col min="3857" max="3857" width="6.625"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2.625" style="3" customWidth="1"/>
    <col min="4110" max="4110" width="0" style="3" hidden="1" customWidth="1"/>
    <col min="4111" max="4111" width="12.625" style="3" customWidth="1"/>
    <col min="4112" max="4112" width="4.125" style="3" customWidth="1"/>
    <col min="4113" max="4113" width="6.625"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2.625" style="3" customWidth="1"/>
    <col min="4366" max="4366" width="0" style="3" hidden="1" customWidth="1"/>
    <col min="4367" max="4367" width="12.625" style="3" customWidth="1"/>
    <col min="4368" max="4368" width="4.125" style="3" customWidth="1"/>
    <col min="4369" max="4369" width="6.625"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2.625" style="3" customWidth="1"/>
    <col min="4622" max="4622" width="0" style="3" hidden="1" customWidth="1"/>
    <col min="4623" max="4623" width="12.625" style="3" customWidth="1"/>
    <col min="4624" max="4624" width="4.125" style="3" customWidth="1"/>
    <col min="4625" max="4625" width="6.625"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2.625" style="3" customWidth="1"/>
    <col min="4878" max="4878" width="0" style="3" hidden="1" customWidth="1"/>
    <col min="4879" max="4879" width="12.625" style="3" customWidth="1"/>
    <col min="4880" max="4880" width="4.125" style="3" customWidth="1"/>
    <col min="4881" max="4881" width="6.625"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2.625" style="3" customWidth="1"/>
    <col min="5134" max="5134" width="0" style="3" hidden="1" customWidth="1"/>
    <col min="5135" max="5135" width="12.625" style="3" customWidth="1"/>
    <col min="5136" max="5136" width="4.125" style="3" customWidth="1"/>
    <col min="5137" max="5137" width="6.625"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2.625" style="3" customWidth="1"/>
    <col min="5390" max="5390" width="0" style="3" hidden="1" customWidth="1"/>
    <col min="5391" max="5391" width="12.625" style="3" customWidth="1"/>
    <col min="5392" max="5392" width="4.125" style="3" customWidth="1"/>
    <col min="5393" max="5393" width="6.625"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2.625" style="3" customWidth="1"/>
    <col min="5646" max="5646" width="0" style="3" hidden="1" customWidth="1"/>
    <col min="5647" max="5647" width="12.625" style="3" customWidth="1"/>
    <col min="5648" max="5648" width="4.125" style="3" customWidth="1"/>
    <col min="5649" max="5649" width="6.625"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2.625" style="3" customWidth="1"/>
    <col min="5902" max="5902" width="0" style="3" hidden="1" customWidth="1"/>
    <col min="5903" max="5903" width="12.625" style="3" customWidth="1"/>
    <col min="5904" max="5904" width="4.125" style="3" customWidth="1"/>
    <col min="5905" max="5905" width="6.625"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2.625" style="3" customWidth="1"/>
    <col min="6158" max="6158" width="0" style="3" hidden="1" customWidth="1"/>
    <col min="6159" max="6159" width="12.625" style="3" customWidth="1"/>
    <col min="6160" max="6160" width="4.125" style="3" customWidth="1"/>
    <col min="6161" max="6161" width="6.625"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2.625" style="3" customWidth="1"/>
    <col min="6414" max="6414" width="0" style="3" hidden="1" customWidth="1"/>
    <col min="6415" max="6415" width="12.625" style="3" customWidth="1"/>
    <col min="6416" max="6416" width="4.125" style="3" customWidth="1"/>
    <col min="6417" max="6417" width="6.625"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2.625" style="3" customWidth="1"/>
    <col min="6670" max="6670" width="0" style="3" hidden="1" customWidth="1"/>
    <col min="6671" max="6671" width="12.625" style="3" customWidth="1"/>
    <col min="6672" max="6672" width="4.125" style="3" customWidth="1"/>
    <col min="6673" max="6673" width="6.625"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2.625" style="3" customWidth="1"/>
    <col min="6926" max="6926" width="0" style="3" hidden="1" customWidth="1"/>
    <col min="6927" max="6927" width="12.625" style="3" customWidth="1"/>
    <col min="6928" max="6928" width="4.125" style="3" customWidth="1"/>
    <col min="6929" max="6929" width="6.625"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2.625" style="3" customWidth="1"/>
    <col min="7182" max="7182" width="0" style="3" hidden="1" customWidth="1"/>
    <col min="7183" max="7183" width="12.625" style="3" customWidth="1"/>
    <col min="7184" max="7184" width="4.125" style="3" customWidth="1"/>
    <col min="7185" max="7185" width="6.625"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2.625" style="3" customWidth="1"/>
    <col min="7438" max="7438" width="0" style="3" hidden="1" customWidth="1"/>
    <col min="7439" max="7439" width="12.625" style="3" customWidth="1"/>
    <col min="7440" max="7440" width="4.125" style="3" customWidth="1"/>
    <col min="7441" max="7441" width="6.625"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2.625" style="3" customWidth="1"/>
    <col min="7694" max="7694" width="0" style="3" hidden="1" customWidth="1"/>
    <col min="7695" max="7695" width="12.625" style="3" customWidth="1"/>
    <col min="7696" max="7696" width="4.125" style="3" customWidth="1"/>
    <col min="7697" max="7697" width="6.625"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2.625" style="3" customWidth="1"/>
    <col min="7950" max="7950" width="0" style="3" hidden="1" customWidth="1"/>
    <col min="7951" max="7951" width="12.625" style="3" customWidth="1"/>
    <col min="7952" max="7952" width="4.125" style="3" customWidth="1"/>
    <col min="7953" max="7953" width="6.625"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2.625" style="3" customWidth="1"/>
    <col min="8206" max="8206" width="0" style="3" hidden="1" customWidth="1"/>
    <col min="8207" max="8207" width="12.625" style="3" customWidth="1"/>
    <col min="8208" max="8208" width="4.125" style="3" customWidth="1"/>
    <col min="8209" max="8209" width="6.625"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2.625" style="3" customWidth="1"/>
    <col min="8462" max="8462" width="0" style="3" hidden="1" customWidth="1"/>
    <col min="8463" max="8463" width="12.625" style="3" customWidth="1"/>
    <col min="8464" max="8464" width="4.125" style="3" customWidth="1"/>
    <col min="8465" max="8465" width="6.625"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2.625" style="3" customWidth="1"/>
    <col min="8718" max="8718" width="0" style="3" hidden="1" customWidth="1"/>
    <col min="8719" max="8719" width="12.625" style="3" customWidth="1"/>
    <col min="8720" max="8720" width="4.125" style="3" customWidth="1"/>
    <col min="8721" max="8721" width="6.625"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2.625" style="3" customWidth="1"/>
    <col min="8974" max="8974" width="0" style="3" hidden="1" customWidth="1"/>
    <col min="8975" max="8975" width="12.625" style="3" customWidth="1"/>
    <col min="8976" max="8976" width="4.125" style="3" customWidth="1"/>
    <col min="8977" max="8977" width="6.625"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2.625" style="3" customWidth="1"/>
    <col min="9230" max="9230" width="0" style="3" hidden="1" customWidth="1"/>
    <col min="9231" max="9231" width="12.625" style="3" customWidth="1"/>
    <col min="9232" max="9232" width="4.125" style="3" customWidth="1"/>
    <col min="9233" max="9233" width="6.625"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2.625" style="3" customWidth="1"/>
    <col min="9486" max="9486" width="0" style="3" hidden="1" customWidth="1"/>
    <col min="9487" max="9487" width="12.625" style="3" customWidth="1"/>
    <col min="9488" max="9488" width="4.125" style="3" customWidth="1"/>
    <col min="9489" max="9489" width="6.625"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2.625" style="3" customWidth="1"/>
    <col min="9742" max="9742" width="0" style="3" hidden="1" customWidth="1"/>
    <col min="9743" max="9743" width="12.625" style="3" customWidth="1"/>
    <col min="9744" max="9744" width="4.125" style="3" customWidth="1"/>
    <col min="9745" max="9745" width="6.625"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2.625" style="3" customWidth="1"/>
    <col min="9998" max="9998" width="0" style="3" hidden="1" customWidth="1"/>
    <col min="9999" max="9999" width="12.625" style="3" customWidth="1"/>
    <col min="10000" max="10000" width="4.125" style="3" customWidth="1"/>
    <col min="10001" max="10001" width="6.625"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2.625" style="3" customWidth="1"/>
    <col min="10254" max="10254" width="0" style="3" hidden="1" customWidth="1"/>
    <col min="10255" max="10255" width="12.625" style="3" customWidth="1"/>
    <col min="10256" max="10256" width="4.125" style="3" customWidth="1"/>
    <col min="10257" max="10257" width="6.625"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2.625" style="3" customWidth="1"/>
    <col min="10510" max="10510" width="0" style="3" hidden="1" customWidth="1"/>
    <col min="10511" max="10511" width="12.625" style="3" customWidth="1"/>
    <col min="10512" max="10512" width="4.125" style="3" customWidth="1"/>
    <col min="10513" max="10513" width="6.625"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2.625" style="3" customWidth="1"/>
    <col min="10766" max="10766" width="0" style="3" hidden="1" customWidth="1"/>
    <col min="10767" max="10767" width="12.625" style="3" customWidth="1"/>
    <col min="10768" max="10768" width="4.125" style="3" customWidth="1"/>
    <col min="10769" max="10769" width="6.625"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2.625" style="3" customWidth="1"/>
    <col min="11022" max="11022" width="0" style="3" hidden="1" customWidth="1"/>
    <col min="11023" max="11023" width="12.625" style="3" customWidth="1"/>
    <col min="11024" max="11024" width="4.125" style="3" customWidth="1"/>
    <col min="11025" max="11025" width="6.625"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2.625" style="3" customWidth="1"/>
    <col min="11278" max="11278" width="0" style="3" hidden="1" customWidth="1"/>
    <col min="11279" max="11279" width="12.625" style="3" customWidth="1"/>
    <col min="11280" max="11280" width="4.125" style="3" customWidth="1"/>
    <col min="11281" max="11281" width="6.625"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2.625" style="3" customWidth="1"/>
    <col min="11534" max="11534" width="0" style="3" hidden="1" customWidth="1"/>
    <col min="11535" max="11535" width="12.625" style="3" customWidth="1"/>
    <col min="11536" max="11536" width="4.125" style="3" customWidth="1"/>
    <col min="11537" max="11537" width="6.625"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2.625" style="3" customWidth="1"/>
    <col min="11790" max="11790" width="0" style="3" hidden="1" customWidth="1"/>
    <col min="11791" max="11791" width="12.625" style="3" customWidth="1"/>
    <col min="11792" max="11792" width="4.125" style="3" customWidth="1"/>
    <col min="11793" max="11793" width="6.625"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2.625" style="3" customWidth="1"/>
    <col min="12046" max="12046" width="0" style="3" hidden="1" customWidth="1"/>
    <col min="12047" max="12047" width="12.625" style="3" customWidth="1"/>
    <col min="12048" max="12048" width="4.125" style="3" customWidth="1"/>
    <col min="12049" max="12049" width="6.625"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2.625" style="3" customWidth="1"/>
    <col min="12302" max="12302" width="0" style="3" hidden="1" customWidth="1"/>
    <col min="12303" max="12303" width="12.625" style="3" customWidth="1"/>
    <col min="12304" max="12304" width="4.125" style="3" customWidth="1"/>
    <col min="12305" max="12305" width="6.625"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2.625" style="3" customWidth="1"/>
    <col min="12558" max="12558" width="0" style="3" hidden="1" customWidth="1"/>
    <col min="12559" max="12559" width="12.625" style="3" customWidth="1"/>
    <col min="12560" max="12560" width="4.125" style="3" customWidth="1"/>
    <col min="12561" max="12561" width="6.625"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2.625" style="3" customWidth="1"/>
    <col min="12814" max="12814" width="0" style="3" hidden="1" customWidth="1"/>
    <col min="12815" max="12815" width="12.625" style="3" customWidth="1"/>
    <col min="12816" max="12816" width="4.125" style="3" customWidth="1"/>
    <col min="12817" max="12817" width="6.625"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2.625" style="3" customWidth="1"/>
    <col min="13070" max="13070" width="0" style="3" hidden="1" customWidth="1"/>
    <col min="13071" max="13071" width="12.625" style="3" customWidth="1"/>
    <col min="13072" max="13072" width="4.125" style="3" customWidth="1"/>
    <col min="13073" max="13073" width="6.625"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2.625" style="3" customWidth="1"/>
    <col min="13326" max="13326" width="0" style="3" hidden="1" customWidth="1"/>
    <col min="13327" max="13327" width="12.625" style="3" customWidth="1"/>
    <col min="13328" max="13328" width="4.125" style="3" customWidth="1"/>
    <col min="13329" max="13329" width="6.625"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2.625" style="3" customWidth="1"/>
    <col min="13582" max="13582" width="0" style="3" hidden="1" customWidth="1"/>
    <col min="13583" max="13583" width="12.625" style="3" customWidth="1"/>
    <col min="13584" max="13584" width="4.125" style="3" customWidth="1"/>
    <col min="13585" max="13585" width="6.625"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2.625" style="3" customWidth="1"/>
    <col min="13838" max="13838" width="0" style="3" hidden="1" customWidth="1"/>
    <col min="13839" max="13839" width="12.625" style="3" customWidth="1"/>
    <col min="13840" max="13840" width="4.125" style="3" customWidth="1"/>
    <col min="13841" max="13841" width="6.625"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2.625" style="3" customWidth="1"/>
    <col min="14094" max="14094" width="0" style="3" hidden="1" customWidth="1"/>
    <col min="14095" max="14095" width="12.625" style="3" customWidth="1"/>
    <col min="14096" max="14096" width="4.125" style="3" customWidth="1"/>
    <col min="14097" max="14097" width="6.625"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2.625" style="3" customWidth="1"/>
    <col min="14350" max="14350" width="0" style="3" hidden="1" customWidth="1"/>
    <col min="14351" max="14351" width="12.625" style="3" customWidth="1"/>
    <col min="14352" max="14352" width="4.125" style="3" customWidth="1"/>
    <col min="14353" max="14353" width="6.625"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2.625" style="3" customWidth="1"/>
    <col min="14606" max="14606" width="0" style="3" hidden="1" customWidth="1"/>
    <col min="14607" max="14607" width="12.625" style="3" customWidth="1"/>
    <col min="14608" max="14608" width="4.125" style="3" customWidth="1"/>
    <col min="14609" max="14609" width="6.625"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2.625" style="3" customWidth="1"/>
    <col min="14862" max="14862" width="0" style="3" hidden="1" customWidth="1"/>
    <col min="14863" max="14863" width="12.625" style="3" customWidth="1"/>
    <col min="14864" max="14864" width="4.125" style="3" customWidth="1"/>
    <col min="14865" max="14865" width="6.625"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2.625" style="3" customWidth="1"/>
    <col min="15118" max="15118" width="0" style="3" hidden="1" customWidth="1"/>
    <col min="15119" max="15119" width="12.625" style="3" customWidth="1"/>
    <col min="15120" max="15120" width="4.125" style="3" customWidth="1"/>
    <col min="15121" max="15121" width="6.625"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2.625" style="3" customWidth="1"/>
    <col min="15374" max="15374" width="0" style="3" hidden="1" customWidth="1"/>
    <col min="15375" max="15375" width="12.625" style="3" customWidth="1"/>
    <col min="15376" max="15376" width="4.125" style="3" customWidth="1"/>
    <col min="15377" max="15377" width="6.625"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2.625" style="3" customWidth="1"/>
    <col min="15630" max="15630" width="0" style="3" hidden="1" customWidth="1"/>
    <col min="15631" max="15631" width="12.625" style="3" customWidth="1"/>
    <col min="15632" max="15632" width="4.125" style="3" customWidth="1"/>
    <col min="15633" max="15633" width="6.625"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2.625" style="3" customWidth="1"/>
    <col min="15886" max="15886" width="0" style="3" hidden="1" customWidth="1"/>
    <col min="15887" max="15887" width="12.625" style="3" customWidth="1"/>
    <col min="15888" max="15888" width="4.125" style="3" customWidth="1"/>
    <col min="15889" max="15889" width="6.625"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2.625" style="3" customWidth="1"/>
    <col min="16142" max="16142" width="0" style="3" hidden="1" customWidth="1"/>
    <col min="16143" max="16143" width="12.625" style="3" customWidth="1"/>
    <col min="16144" max="16144" width="4.125" style="3" customWidth="1"/>
    <col min="16145" max="16145" width="6.625" style="3" bestFit="1" customWidth="1"/>
    <col min="16146" max="16384" width="9" style="3"/>
  </cols>
  <sheetData>
    <row r="1" spans="1:17" ht="13.5" customHeight="1" x14ac:dyDescent="0.15">
      <c r="A1" s="481" t="s">
        <v>71</v>
      </c>
      <c r="B1" s="481"/>
      <c r="C1" s="481"/>
      <c r="D1" s="481"/>
      <c r="E1" s="481"/>
      <c r="F1" s="481"/>
      <c r="G1" s="481"/>
      <c r="H1" s="481"/>
      <c r="I1" s="481"/>
      <c r="J1" s="481"/>
      <c r="K1" s="481"/>
      <c r="L1" s="481"/>
      <c r="M1" s="481"/>
      <c r="N1" s="481"/>
      <c r="O1" s="481"/>
      <c r="P1" s="481"/>
      <c r="Q1" s="129"/>
    </row>
    <row r="2" spans="1:17" ht="13.5" customHeight="1" x14ac:dyDescent="0.15">
      <c r="C2" s="130"/>
      <c r="D2" s="130"/>
      <c r="E2" s="130"/>
      <c r="F2" s="130"/>
      <c r="G2" s="130"/>
      <c r="H2" s="130"/>
      <c r="M2" s="16"/>
      <c r="N2" s="16"/>
      <c r="O2" s="16"/>
      <c r="P2" s="16"/>
      <c r="Q2" s="16"/>
    </row>
    <row r="3" spans="1:17" ht="13.5" customHeight="1" x14ac:dyDescent="0.15">
      <c r="B3" s="506"/>
      <c r="C3" s="506"/>
      <c r="D3" s="506"/>
      <c r="E3" s="506"/>
      <c r="F3" s="506"/>
      <c r="G3" s="506"/>
      <c r="H3" s="506"/>
      <c r="I3" s="506"/>
      <c r="J3" s="506"/>
      <c r="K3" s="506"/>
      <c r="L3" s="506"/>
      <c r="M3" s="16"/>
      <c r="N3" s="16"/>
      <c r="O3" s="16"/>
      <c r="P3" s="16"/>
      <c r="Q3" s="16"/>
    </row>
    <row r="4" spans="1:17" ht="13.5" customHeight="1" x14ac:dyDescent="0.15">
      <c r="B4" s="506"/>
      <c r="C4" s="506"/>
      <c r="D4" s="506"/>
      <c r="E4" s="506"/>
      <c r="F4" s="506"/>
      <c r="G4" s="506"/>
      <c r="H4" s="506"/>
      <c r="I4" s="506"/>
      <c r="J4" s="506"/>
      <c r="K4" s="506"/>
      <c r="L4" s="506"/>
      <c r="N4" s="131"/>
      <c r="O4" s="131"/>
      <c r="P4" s="131"/>
      <c r="Q4" s="131"/>
    </row>
    <row r="5" spans="1:17" ht="13.5" customHeight="1" x14ac:dyDescent="0.15">
      <c r="C5" s="130"/>
      <c r="D5" s="130"/>
      <c r="E5" s="130"/>
      <c r="F5" s="130"/>
      <c r="G5" s="130"/>
      <c r="H5" s="130"/>
      <c r="M5" s="16"/>
      <c r="N5" s="16"/>
      <c r="O5" s="16"/>
      <c r="P5" s="16"/>
      <c r="Q5" s="16"/>
    </row>
    <row r="6" spans="1:17" ht="13.5" customHeight="1" x14ac:dyDescent="0.15">
      <c r="C6" s="130"/>
      <c r="D6" s="130"/>
      <c r="E6" s="130"/>
      <c r="F6" s="130"/>
      <c r="G6" s="130"/>
      <c r="H6" s="130"/>
      <c r="M6" s="16"/>
      <c r="N6" s="16"/>
      <c r="O6" s="16"/>
      <c r="P6" s="16"/>
      <c r="Q6" s="16"/>
    </row>
    <row r="7" spans="1:17" ht="18.75" customHeight="1" x14ac:dyDescent="0.15">
      <c r="B7" s="507"/>
      <c r="C7" s="507"/>
      <c r="D7" s="507"/>
      <c r="E7" s="132" t="s">
        <v>72</v>
      </c>
      <c r="F7" s="7"/>
      <c r="G7" s="7"/>
    </row>
    <row r="8" spans="1:17" x14ac:dyDescent="0.15">
      <c r="D8" s="9"/>
      <c r="E8" s="9"/>
      <c r="F8" s="9"/>
      <c r="G8" s="9"/>
      <c r="H8" s="9"/>
    </row>
    <row r="9" spans="1:17" ht="17.25" x14ac:dyDescent="0.15">
      <c r="D9" s="9"/>
      <c r="E9" s="9"/>
      <c r="H9" s="133" t="s">
        <v>106</v>
      </c>
      <c r="L9" s="186"/>
      <c r="M9" s="186"/>
    </row>
    <row r="10" spans="1:17" ht="14.25" customHeight="1" x14ac:dyDescent="0.15">
      <c r="D10" s="9"/>
      <c r="E10" s="9"/>
      <c r="F10" s="9"/>
      <c r="G10" s="9"/>
      <c r="H10" s="9"/>
    </row>
    <row r="11" spans="1:17" ht="14.25" customHeight="1" x14ac:dyDescent="0.15">
      <c r="D11" s="9"/>
      <c r="E11" s="9"/>
      <c r="F11" s="9"/>
      <c r="G11" s="9"/>
      <c r="H11" s="9"/>
      <c r="M11" s="134" t="s">
        <v>74</v>
      </c>
      <c r="N11" s="499"/>
      <c r="O11" s="499"/>
      <c r="P11" s="499"/>
    </row>
    <row r="12" spans="1:17" ht="14.25" customHeight="1" x14ac:dyDescent="0.15">
      <c r="D12" s="9"/>
      <c r="E12" s="9"/>
      <c r="F12" s="9"/>
      <c r="G12" s="9"/>
      <c r="H12" s="9"/>
      <c r="N12" s="500"/>
      <c r="O12" s="500"/>
      <c r="P12" s="500"/>
      <c r="Q12" s="135" t="s">
        <v>75</v>
      </c>
    </row>
    <row r="13" spans="1:17" s="136" customFormat="1" ht="10.5" x14ac:dyDescent="0.15">
      <c r="B13" s="137" t="s">
        <v>76</v>
      </c>
      <c r="C13" s="137"/>
      <c r="D13" s="137"/>
      <c r="E13" s="137"/>
      <c r="F13" s="137"/>
      <c r="G13" s="137"/>
      <c r="H13" s="137"/>
      <c r="I13" s="137"/>
      <c r="J13" s="137"/>
      <c r="K13" s="137"/>
      <c r="L13" s="137"/>
      <c r="M13" s="137"/>
      <c r="N13" s="137"/>
      <c r="O13" s="137"/>
      <c r="P13" s="137"/>
      <c r="Q13" s="137"/>
    </row>
    <row r="14" spans="1:17" s="136" customFormat="1" ht="10.5" customHeight="1" x14ac:dyDescent="0.15">
      <c r="B14" s="137" t="s">
        <v>77</v>
      </c>
      <c r="C14" s="137"/>
      <c r="D14" s="137"/>
      <c r="E14" s="137"/>
      <c r="F14" s="137"/>
      <c r="G14" s="137"/>
      <c r="H14" s="137"/>
      <c r="I14" s="137"/>
      <c r="J14" s="137"/>
      <c r="K14" s="137"/>
      <c r="L14" s="137"/>
      <c r="M14" s="187"/>
      <c r="N14" s="137"/>
      <c r="O14" s="188"/>
      <c r="P14" s="188"/>
      <c r="Q14" s="187"/>
    </row>
    <row r="15" spans="1:17" s="136" customFormat="1" ht="10.5" customHeight="1" x14ac:dyDescent="0.15">
      <c r="B15" s="137" t="s">
        <v>78</v>
      </c>
      <c r="C15" s="137"/>
      <c r="D15" s="137"/>
      <c r="E15" s="137"/>
      <c r="F15" s="137"/>
      <c r="G15" s="137"/>
      <c r="H15" s="137"/>
      <c r="I15" s="137"/>
      <c r="J15" s="137"/>
      <c r="K15" s="137"/>
      <c r="L15" s="137"/>
      <c r="M15" s="137"/>
      <c r="O15" s="188"/>
      <c r="P15" s="188"/>
      <c r="Q15" s="137"/>
    </row>
    <row r="16" spans="1:17" s="136" customFormat="1" ht="10.5" customHeight="1" x14ac:dyDescent="0.15">
      <c r="B16" s="137" t="s">
        <v>107</v>
      </c>
      <c r="C16" s="137"/>
      <c r="D16" s="137"/>
      <c r="E16" s="137"/>
      <c r="F16" s="137"/>
      <c r="G16" s="137"/>
      <c r="H16" s="137"/>
      <c r="I16" s="137"/>
      <c r="J16" s="137"/>
      <c r="K16" s="137"/>
      <c r="L16" s="137"/>
      <c r="M16" s="187"/>
      <c r="N16" s="137"/>
      <c r="O16" s="188"/>
      <c r="P16" s="188"/>
      <c r="Q16" s="187"/>
    </row>
    <row r="17" spans="1:17" s="136" customFormat="1" ht="10.5" customHeight="1" x14ac:dyDescent="0.15">
      <c r="B17" s="137" t="s">
        <v>108</v>
      </c>
      <c r="C17" s="137"/>
      <c r="D17" s="137"/>
      <c r="E17" s="137"/>
      <c r="F17" s="137"/>
      <c r="G17" s="137"/>
      <c r="H17" s="137"/>
      <c r="I17" s="137"/>
      <c r="J17" s="137"/>
      <c r="K17" s="137"/>
      <c r="L17" s="137"/>
      <c r="M17" s="137"/>
      <c r="N17" s="137"/>
      <c r="O17" s="188"/>
      <c r="P17" s="188"/>
      <c r="Q17" s="137"/>
    </row>
    <row r="18" spans="1:17" ht="9.9499999999999993" customHeight="1" x14ac:dyDescent="0.15">
      <c r="B18" s="9"/>
      <c r="C18" s="9"/>
      <c r="D18" s="9"/>
      <c r="E18" s="9"/>
      <c r="F18" s="9"/>
      <c r="G18" s="9"/>
      <c r="H18" s="9"/>
    </row>
    <row r="19" spans="1:17" ht="13.5" customHeight="1" x14ac:dyDescent="0.15">
      <c r="C19" s="133"/>
      <c r="D19" s="133"/>
      <c r="E19" s="133"/>
      <c r="F19" s="133"/>
      <c r="G19" s="133"/>
      <c r="H19" s="133"/>
      <c r="I19" s="133"/>
      <c r="J19" s="133"/>
      <c r="K19" s="133"/>
      <c r="L19" s="133"/>
      <c r="N19" s="133"/>
      <c r="O19" s="133"/>
      <c r="P19" s="133"/>
      <c r="Q19" s="189"/>
    </row>
    <row r="20" spans="1:17" x14ac:dyDescent="0.15">
      <c r="A20" s="136"/>
      <c r="B20" s="484" t="s">
        <v>80</v>
      </c>
      <c r="C20" s="484"/>
      <c r="D20" s="484"/>
      <c r="E20" s="485"/>
      <c r="F20" s="485"/>
      <c r="G20" s="144"/>
      <c r="H20" s="144"/>
      <c r="I20" s="144"/>
      <c r="J20" s="143"/>
      <c r="K20" s="143"/>
      <c r="L20" s="143"/>
      <c r="N20" s="143"/>
      <c r="O20" s="136"/>
      <c r="P20" s="136"/>
      <c r="Q20" s="143"/>
    </row>
    <row r="21" spans="1:17" s="140" customFormat="1" ht="13.5" customHeight="1" x14ac:dyDescent="0.15">
      <c r="A21" s="143"/>
      <c r="B21" s="472" t="s">
        <v>81</v>
      </c>
      <c r="C21" s="472"/>
      <c r="D21" s="472"/>
      <c r="E21" s="477" t="s">
        <v>82</v>
      </c>
      <c r="F21" s="501"/>
      <c r="G21" s="478"/>
      <c r="H21" s="502" t="s">
        <v>109</v>
      </c>
      <c r="I21" s="503"/>
      <c r="J21" s="465" t="s">
        <v>110</v>
      </c>
      <c r="K21" s="479" t="s">
        <v>84</v>
      </c>
      <c r="L21" s="479"/>
      <c r="M21" s="148"/>
      <c r="N21" s="143"/>
      <c r="P21" s="143"/>
      <c r="Q21" s="143"/>
    </row>
    <row r="22" spans="1:17" s="140" customFormat="1" ht="13.5" customHeight="1" x14ac:dyDescent="0.15">
      <c r="A22" s="143"/>
      <c r="B22" s="145" t="s">
        <v>111</v>
      </c>
      <c r="C22" s="145" t="s">
        <v>112</v>
      </c>
      <c r="D22" s="145" t="s">
        <v>87</v>
      </c>
      <c r="E22" s="472" t="s">
        <v>59</v>
      </c>
      <c r="F22" s="472"/>
      <c r="G22" s="156"/>
      <c r="H22" s="504"/>
      <c r="I22" s="505"/>
      <c r="J22" s="465"/>
      <c r="K22" s="480" t="s">
        <v>89</v>
      </c>
      <c r="L22" s="480"/>
      <c r="M22" s="148"/>
      <c r="N22" s="143"/>
      <c r="O22" s="190" t="s">
        <v>113</v>
      </c>
      <c r="P22" s="143"/>
      <c r="Q22" s="143"/>
    </row>
    <row r="23" spans="1:17" s="191" customFormat="1" ht="13.5" customHeight="1" x14ac:dyDescent="0.15">
      <c r="A23" s="184"/>
      <c r="B23" s="150"/>
      <c r="C23" s="150"/>
      <c r="D23" s="150">
        <f>SUM(B23:C23)</f>
        <v>0</v>
      </c>
      <c r="E23" s="467"/>
      <c r="F23" s="467"/>
      <c r="G23" s="150"/>
      <c r="H23" s="498">
        <f>SUM(G23+E23)</f>
        <v>0</v>
      </c>
      <c r="I23" s="498"/>
      <c r="J23" s="150"/>
      <c r="K23" s="468">
        <f>SUM(E23-D23+H23+J23)</f>
        <v>0</v>
      </c>
      <c r="L23" s="469"/>
      <c r="M23" s="151"/>
      <c r="N23" s="152"/>
      <c r="O23" s="153"/>
      <c r="P23" s="184"/>
      <c r="Q23" s="184" t="s">
        <v>114</v>
      </c>
    </row>
    <row r="24" spans="1:17" ht="9.9499999999999993" customHeight="1" x14ac:dyDescent="0.15">
      <c r="A24" s="136"/>
      <c r="B24" s="136"/>
      <c r="C24" s="136"/>
      <c r="D24" s="136"/>
      <c r="E24" s="136"/>
      <c r="F24" s="136"/>
      <c r="G24" s="136"/>
      <c r="H24" s="136"/>
      <c r="I24" s="136"/>
      <c r="J24" s="136"/>
      <c r="K24" s="136"/>
      <c r="L24" s="136"/>
      <c r="N24" s="136"/>
      <c r="O24" s="136"/>
      <c r="P24" s="136"/>
      <c r="Q24" s="184" t="s">
        <v>115</v>
      </c>
    </row>
    <row r="25" spans="1:17" x14ac:dyDescent="0.15">
      <c r="A25" s="136"/>
      <c r="B25" s="470" t="s">
        <v>90</v>
      </c>
      <c r="C25" s="470"/>
      <c r="D25" s="470"/>
      <c r="E25" s="471" t="s">
        <v>116</v>
      </c>
      <c r="F25" s="471"/>
      <c r="G25" s="471"/>
      <c r="H25" s="471"/>
      <c r="I25" s="471"/>
      <c r="J25" s="136"/>
      <c r="K25" s="136"/>
      <c r="L25" s="136"/>
      <c r="M25" s="136"/>
      <c r="N25" s="136"/>
      <c r="O25" s="136"/>
      <c r="P25" s="136"/>
      <c r="Q25" s="136"/>
    </row>
    <row r="26" spans="1:17" ht="13.5" customHeight="1" x14ac:dyDescent="0.15">
      <c r="A26" s="472" t="s">
        <v>91</v>
      </c>
      <c r="B26" s="453" t="s">
        <v>61</v>
      </c>
      <c r="C26" s="473"/>
      <c r="D26" s="476" t="s">
        <v>93</v>
      </c>
      <c r="E26" s="477" t="s">
        <v>94</v>
      </c>
      <c r="F26" s="478"/>
      <c r="G26" s="472" t="s">
        <v>117</v>
      </c>
      <c r="H26" s="453" t="s">
        <v>118</v>
      </c>
      <c r="I26" s="454"/>
      <c r="J26" s="463" t="s">
        <v>119</v>
      </c>
      <c r="K26" s="463" t="s">
        <v>43</v>
      </c>
      <c r="L26" s="496" t="s">
        <v>120</v>
      </c>
      <c r="M26" s="463" t="s">
        <v>121</v>
      </c>
      <c r="N26" s="465" t="s">
        <v>101</v>
      </c>
      <c r="O26" s="453" t="s">
        <v>122</v>
      </c>
      <c r="P26" s="454"/>
      <c r="Q26" s="136"/>
    </row>
    <row r="27" spans="1:17" x14ac:dyDescent="0.15">
      <c r="A27" s="472"/>
      <c r="B27" s="474"/>
      <c r="C27" s="475"/>
      <c r="D27" s="474"/>
      <c r="E27" s="145" t="s">
        <v>19</v>
      </c>
      <c r="F27" s="145" t="s">
        <v>20</v>
      </c>
      <c r="G27" s="472"/>
      <c r="H27" s="455"/>
      <c r="I27" s="456"/>
      <c r="J27" s="464"/>
      <c r="K27" s="464"/>
      <c r="L27" s="497"/>
      <c r="M27" s="464"/>
      <c r="N27" s="465"/>
      <c r="O27" s="455"/>
      <c r="P27" s="456"/>
      <c r="Q27" s="136"/>
    </row>
    <row r="28" spans="1:17" ht="27" customHeight="1" x14ac:dyDescent="0.15">
      <c r="A28" s="157"/>
      <c r="B28" s="457"/>
      <c r="C28" s="458"/>
      <c r="D28" s="192"/>
      <c r="E28" s="159"/>
      <c r="F28" s="147"/>
      <c r="G28" s="193"/>
      <c r="H28" s="492"/>
      <c r="I28" s="493"/>
      <c r="J28" s="161"/>
      <c r="K28" s="162"/>
      <c r="L28" s="163"/>
      <c r="M28" s="163"/>
      <c r="N28" s="163"/>
      <c r="O28" s="461"/>
      <c r="P28" s="462"/>
      <c r="Q28" s="136"/>
    </row>
    <row r="29" spans="1:17" ht="27" customHeight="1" x14ac:dyDescent="0.15">
      <c r="A29" s="164"/>
      <c r="B29" s="436"/>
      <c r="C29" s="437"/>
      <c r="D29" s="194"/>
      <c r="E29" s="166"/>
      <c r="F29" s="166"/>
      <c r="G29" s="195"/>
      <c r="H29" s="451"/>
      <c r="I29" s="452"/>
      <c r="J29" s="168"/>
      <c r="K29" s="169"/>
      <c r="L29" s="170"/>
      <c r="M29" s="170"/>
      <c r="N29" s="170"/>
      <c r="O29" s="440"/>
      <c r="P29" s="441"/>
      <c r="Q29" s="136"/>
    </row>
    <row r="30" spans="1:17" ht="27" customHeight="1" x14ac:dyDescent="0.15">
      <c r="A30" s="164"/>
      <c r="B30" s="436"/>
      <c r="C30" s="437"/>
      <c r="D30" s="194"/>
      <c r="E30" s="166"/>
      <c r="F30" s="166"/>
      <c r="G30" s="195"/>
      <c r="H30" s="451"/>
      <c r="I30" s="452"/>
      <c r="J30" s="168"/>
      <c r="K30" s="169"/>
      <c r="L30" s="170"/>
      <c r="M30" s="170"/>
      <c r="N30" s="170"/>
      <c r="O30" s="440"/>
      <c r="P30" s="441"/>
      <c r="Q30" s="136"/>
    </row>
    <row r="31" spans="1:17" ht="27" customHeight="1" x14ac:dyDescent="0.15">
      <c r="A31" s="164"/>
      <c r="B31" s="436"/>
      <c r="C31" s="437"/>
      <c r="D31" s="194"/>
      <c r="E31" s="166"/>
      <c r="F31" s="166"/>
      <c r="G31" s="195"/>
      <c r="H31" s="451"/>
      <c r="I31" s="452"/>
      <c r="J31" s="168"/>
      <c r="K31" s="169"/>
      <c r="L31" s="170"/>
      <c r="M31" s="170"/>
      <c r="N31" s="170"/>
      <c r="O31" s="440"/>
      <c r="P31" s="441"/>
      <c r="Q31" s="136"/>
    </row>
    <row r="32" spans="1:17" ht="27" customHeight="1" x14ac:dyDescent="0.15">
      <c r="A32" s="164"/>
      <c r="B32" s="436"/>
      <c r="C32" s="437"/>
      <c r="D32" s="194"/>
      <c r="E32" s="166"/>
      <c r="F32" s="166"/>
      <c r="G32" s="195"/>
      <c r="H32" s="451"/>
      <c r="I32" s="452"/>
      <c r="J32" s="168"/>
      <c r="K32" s="169"/>
      <c r="L32" s="170"/>
      <c r="M32" s="170"/>
      <c r="N32" s="170"/>
      <c r="O32" s="440"/>
      <c r="P32" s="441"/>
      <c r="Q32" s="136"/>
    </row>
    <row r="33" spans="1:17" ht="27" customHeight="1" x14ac:dyDescent="0.15">
      <c r="A33" s="164"/>
      <c r="B33" s="436"/>
      <c r="C33" s="437"/>
      <c r="D33" s="194"/>
      <c r="E33" s="172"/>
      <c r="F33" s="166"/>
      <c r="G33" s="195"/>
      <c r="H33" s="451"/>
      <c r="I33" s="452"/>
      <c r="J33" s="168"/>
      <c r="K33" s="169"/>
      <c r="L33" s="170"/>
      <c r="M33" s="170"/>
      <c r="N33" s="170"/>
      <c r="O33" s="440"/>
      <c r="P33" s="441"/>
      <c r="Q33" s="136"/>
    </row>
    <row r="34" spans="1:17" ht="27" customHeight="1" x14ac:dyDescent="0.15">
      <c r="A34" s="173"/>
      <c r="B34" s="442"/>
      <c r="C34" s="443"/>
      <c r="D34" s="196"/>
      <c r="E34" s="175"/>
      <c r="F34" s="175"/>
      <c r="G34" s="197"/>
      <c r="H34" s="486"/>
      <c r="I34" s="487"/>
      <c r="J34" s="177"/>
      <c r="K34" s="178"/>
      <c r="L34" s="179"/>
      <c r="M34" s="179"/>
      <c r="N34" s="179"/>
      <c r="O34" s="446"/>
      <c r="P34" s="447"/>
      <c r="Q34" s="136"/>
    </row>
    <row r="35" spans="1:17" x14ac:dyDescent="0.15">
      <c r="A35" s="448" t="s">
        <v>103</v>
      </c>
      <c r="B35" s="449"/>
      <c r="C35" s="449"/>
      <c r="D35" s="450"/>
      <c r="E35" s="180">
        <f>SUM(E28:E34)</f>
        <v>0</v>
      </c>
      <c r="F35" s="180">
        <f>SUM(F28:F34)</f>
        <v>0</v>
      </c>
      <c r="H35" s="143"/>
      <c r="I35" s="136"/>
      <c r="J35" s="181"/>
      <c r="K35" s="182"/>
      <c r="L35" s="183">
        <f>SUM(L28:L34)</f>
        <v>0</v>
      </c>
      <c r="M35" s="183">
        <f>SUM(M28:M34)</f>
        <v>0</v>
      </c>
      <c r="N35" s="183">
        <f>SUM(N28:N34)</f>
        <v>0</v>
      </c>
      <c r="O35" s="446">
        <f>SUM(L35-M35-N35)</f>
        <v>0</v>
      </c>
      <c r="P35" s="447"/>
      <c r="Q35" s="136"/>
    </row>
    <row r="36" spans="1:17" ht="5.0999999999999996" customHeight="1" x14ac:dyDescent="0.15">
      <c r="A36" s="136"/>
      <c r="B36" s="136"/>
      <c r="C36" s="136"/>
      <c r="D36" s="136"/>
      <c r="E36" s="136"/>
      <c r="F36" s="136"/>
      <c r="G36" s="136"/>
      <c r="H36" s="136"/>
      <c r="I36" s="136"/>
      <c r="J36" s="136"/>
      <c r="K36" s="136"/>
      <c r="L36" s="136"/>
      <c r="M36" s="136"/>
      <c r="N36" s="136"/>
      <c r="O36" s="136"/>
      <c r="P36" s="136"/>
      <c r="Q36" s="136"/>
    </row>
    <row r="37" spans="1:17" s="136" customFormat="1" ht="8.1" customHeight="1" x14ac:dyDescent="0.15">
      <c r="H37" s="435"/>
      <c r="I37" s="435"/>
      <c r="J37" s="435"/>
      <c r="K37" s="435"/>
      <c r="L37" s="435"/>
      <c r="M37" s="435"/>
      <c r="N37" s="435"/>
      <c r="O37" s="435"/>
      <c r="P37" s="435"/>
    </row>
    <row r="38" spans="1:17" s="136" customFormat="1" ht="2.1" customHeight="1" x14ac:dyDescent="0.15">
      <c r="H38" s="184"/>
      <c r="I38" s="184"/>
      <c r="J38" s="184"/>
      <c r="K38" s="184"/>
      <c r="L38" s="184"/>
      <c r="M38" s="184"/>
      <c r="N38" s="184"/>
      <c r="O38" s="184"/>
      <c r="P38" s="184"/>
    </row>
    <row r="39" spans="1:17" s="136" customFormat="1" ht="10.5" x14ac:dyDescent="0.15">
      <c r="B39" s="136" t="s">
        <v>104</v>
      </c>
    </row>
    <row r="40" spans="1:17" s="136" customFormat="1" ht="15" customHeight="1" x14ac:dyDescent="0.15">
      <c r="B40" s="136" t="s">
        <v>105</v>
      </c>
    </row>
    <row r="41" spans="1:17" ht="13.5" customHeight="1" x14ac:dyDescent="0.15">
      <c r="A41" s="481"/>
      <c r="B41" s="481"/>
      <c r="C41" s="481"/>
      <c r="D41" s="481"/>
      <c r="E41" s="481"/>
      <c r="F41" s="481"/>
      <c r="G41" s="481"/>
      <c r="H41" s="481"/>
      <c r="I41" s="481"/>
      <c r="J41" s="481"/>
      <c r="K41" s="481"/>
      <c r="L41" s="481"/>
      <c r="M41" s="481"/>
      <c r="N41" s="481"/>
      <c r="O41" s="481"/>
      <c r="P41" s="481"/>
      <c r="Q41" s="129"/>
    </row>
    <row r="42" spans="1:17" ht="13.5" customHeight="1" x14ac:dyDescent="0.15">
      <c r="C42" s="130"/>
      <c r="D42" s="130"/>
      <c r="E42" s="130"/>
      <c r="F42" s="130"/>
      <c r="G42" s="130"/>
      <c r="H42" s="130"/>
      <c r="M42" s="16"/>
      <c r="N42" s="16"/>
      <c r="O42" s="16"/>
      <c r="P42" s="16"/>
      <c r="Q42" s="16"/>
    </row>
    <row r="43" spans="1:17" ht="13.5" customHeight="1" x14ac:dyDescent="0.15">
      <c r="E43" s="130"/>
      <c r="F43" s="130"/>
      <c r="G43" s="130"/>
      <c r="H43" s="130"/>
      <c r="J43" s="16"/>
      <c r="K43" s="16"/>
      <c r="L43" s="16"/>
      <c r="M43" s="16"/>
      <c r="N43" s="16"/>
      <c r="O43" s="16"/>
      <c r="P43" s="16"/>
      <c r="Q43" s="16"/>
    </row>
    <row r="44" spans="1:17" ht="13.5" customHeight="1" x14ac:dyDescent="0.15">
      <c r="E44" s="130"/>
      <c r="F44" s="130"/>
      <c r="G44" s="130"/>
      <c r="H44" s="130"/>
      <c r="N44" s="131"/>
      <c r="O44" s="131"/>
      <c r="P44" s="131"/>
      <c r="Q44" s="131"/>
    </row>
    <row r="45" spans="1:17" ht="13.5" customHeight="1" x14ac:dyDescent="0.15">
      <c r="C45" s="130"/>
      <c r="D45" s="130"/>
      <c r="E45" s="130"/>
      <c r="F45" s="130"/>
      <c r="G45" s="130"/>
      <c r="H45" s="130"/>
      <c r="M45" s="16"/>
      <c r="N45" s="16"/>
      <c r="O45" s="16"/>
      <c r="P45" s="16"/>
      <c r="Q45" s="16"/>
    </row>
    <row r="46" spans="1:17" ht="13.5" customHeight="1" x14ac:dyDescent="0.15">
      <c r="C46" s="130"/>
      <c r="D46" s="130"/>
      <c r="E46" s="130"/>
      <c r="F46" s="130"/>
      <c r="G46" s="130"/>
      <c r="H46" s="130"/>
      <c r="M46" s="16"/>
      <c r="N46" s="16"/>
      <c r="O46" s="16"/>
      <c r="P46" s="16"/>
      <c r="Q46" s="16"/>
    </row>
    <row r="47" spans="1:17" ht="18.75" customHeight="1" x14ac:dyDescent="0.15">
      <c r="E47" s="132"/>
      <c r="F47" s="7"/>
      <c r="G47" s="7"/>
    </row>
    <row r="48" spans="1:17" x14ac:dyDescent="0.15">
      <c r="D48" s="9"/>
      <c r="E48" s="9"/>
      <c r="F48" s="9"/>
      <c r="G48" s="9"/>
      <c r="H48" s="9"/>
    </row>
    <row r="49" spans="1:17" ht="17.25" x14ac:dyDescent="0.15">
      <c r="D49" s="9"/>
      <c r="E49" s="9"/>
      <c r="H49" s="133" t="s">
        <v>106</v>
      </c>
    </row>
    <row r="50" spans="1:17" ht="14.25" customHeight="1" x14ac:dyDescent="0.15">
      <c r="D50" s="9"/>
      <c r="E50" s="9"/>
      <c r="F50" s="9"/>
      <c r="G50" s="9"/>
      <c r="H50" s="9"/>
    </row>
    <row r="51" spans="1:17" ht="14.25" customHeight="1" x14ac:dyDescent="0.15">
      <c r="D51" s="9"/>
      <c r="E51" s="9"/>
      <c r="F51" s="9"/>
      <c r="G51" s="9"/>
      <c r="H51" s="9"/>
      <c r="M51" s="134" t="s">
        <v>74</v>
      </c>
      <c r="N51" s="499">
        <f>N11</f>
        <v>0</v>
      </c>
      <c r="O51" s="499"/>
      <c r="P51" s="499"/>
    </row>
    <row r="52" spans="1:17" ht="14.25" customHeight="1" x14ac:dyDescent="0.15">
      <c r="D52" s="9"/>
      <c r="E52" s="9"/>
      <c r="F52" s="9"/>
      <c r="G52" s="9"/>
      <c r="H52" s="9"/>
      <c r="N52" s="500">
        <f>N12</f>
        <v>0</v>
      </c>
      <c r="O52" s="500"/>
      <c r="P52" s="500"/>
      <c r="Q52" s="135" t="s">
        <v>75</v>
      </c>
    </row>
    <row r="53" spans="1:17" ht="10.5" customHeight="1" x14ac:dyDescent="0.15">
      <c r="A53" s="136"/>
      <c r="B53" s="137" t="s">
        <v>76</v>
      </c>
      <c r="C53" s="137"/>
      <c r="D53" s="137"/>
      <c r="E53" s="137"/>
      <c r="F53" s="137"/>
      <c r="G53" s="137"/>
      <c r="H53" s="137"/>
      <c r="I53" s="137"/>
      <c r="J53" s="137"/>
      <c r="K53" s="137"/>
      <c r="L53" s="137"/>
      <c r="N53" s="9"/>
      <c r="O53" s="9"/>
      <c r="P53" s="9"/>
      <c r="Q53" s="134"/>
    </row>
    <row r="54" spans="1:17" ht="10.5" customHeight="1" x14ac:dyDescent="0.15">
      <c r="A54" s="136"/>
      <c r="B54" s="137" t="s">
        <v>77</v>
      </c>
      <c r="C54" s="137"/>
      <c r="D54" s="137"/>
      <c r="E54" s="137"/>
      <c r="F54" s="137"/>
      <c r="G54" s="137"/>
      <c r="H54" s="137"/>
      <c r="I54" s="137"/>
      <c r="J54" s="137"/>
      <c r="K54" s="137"/>
      <c r="L54" s="137"/>
      <c r="M54" s="187"/>
      <c r="N54" s="137"/>
      <c r="O54" s="188"/>
      <c r="P54" s="188"/>
      <c r="Q54" s="187"/>
    </row>
    <row r="55" spans="1:17" ht="10.5" customHeight="1" x14ac:dyDescent="0.15">
      <c r="A55" s="136"/>
      <c r="B55" s="137" t="s">
        <v>78</v>
      </c>
      <c r="C55" s="137"/>
      <c r="D55" s="137"/>
      <c r="E55" s="137"/>
      <c r="F55" s="137"/>
      <c r="G55" s="137"/>
      <c r="H55" s="137"/>
      <c r="I55" s="137"/>
      <c r="J55" s="137"/>
      <c r="K55" s="137"/>
      <c r="L55" s="137"/>
      <c r="M55" s="187"/>
      <c r="N55" s="137"/>
      <c r="O55" s="188"/>
      <c r="P55" s="188"/>
      <c r="Q55" s="187"/>
    </row>
    <row r="56" spans="1:17" ht="10.5" customHeight="1" x14ac:dyDescent="0.15">
      <c r="A56" s="136"/>
      <c r="B56" s="137" t="s">
        <v>107</v>
      </c>
      <c r="C56" s="137"/>
      <c r="D56" s="137"/>
      <c r="E56" s="137"/>
      <c r="F56" s="137"/>
      <c r="G56" s="137"/>
      <c r="H56" s="137"/>
      <c r="I56" s="137"/>
      <c r="J56" s="137"/>
      <c r="K56" s="137"/>
      <c r="L56" s="137"/>
      <c r="M56" s="187"/>
      <c r="N56" s="137"/>
      <c r="O56" s="188"/>
      <c r="P56" s="188"/>
      <c r="Q56" s="187"/>
    </row>
    <row r="57" spans="1:17" ht="10.5" customHeight="1" x14ac:dyDescent="0.15">
      <c r="A57" s="136"/>
      <c r="B57" s="137"/>
      <c r="C57" s="137"/>
      <c r="D57" s="137"/>
      <c r="E57" s="137"/>
      <c r="F57" s="137"/>
      <c r="G57" s="137"/>
      <c r="H57" s="137"/>
      <c r="I57" s="137"/>
      <c r="J57" s="137"/>
      <c r="K57" s="137"/>
      <c r="L57" s="137"/>
      <c r="M57" s="187"/>
      <c r="N57" s="137"/>
      <c r="O57" s="188"/>
      <c r="P57" s="188"/>
      <c r="Q57" s="187"/>
    </row>
    <row r="58" spans="1:17" ht="9.75" customHeight="1" x14ac:dyDescent="0.15">
      <c r="A58" s="136"/>
      <c r="B58" s="137"/>
      <c r="C58" s="137"/>
      <c r="D58" s="137"/>
      <c r="E58" s="137"/>
      <c r="F58" s="137"/>
      <c r="G58" s="137"/>
      <c r="H58" s="137"/>
      <c r="I58" s="137"/>
      <c r="J58" s="137"/>
      <c r="K58" s="137"/>
      <c r="L58" s="137"/>
      <c r="M58" s="187"/>
      <c r="N58" s="137"/>
      <c r="O58" s="188"/>
      <c r="P58" s="188"/>
      <c r="Q58" s="187"/>
    </row>
    <row r="59" spans="1:17" ht="13.5" customHeight="1" x14ac:dyDescent="0.15">
      <c r="C59" s="133"/>
      <c r="D59" s="133"/>
      <c r="E59" s="133"/>
      <c r="F59" s="133"/>
      <c r="G59" s="133"/>
      <c r="H59" s="133"/>
      <c r="I59" s="133"/>
      <c r="J59" s="133"/>
      <c r="K59" s="133"/>
      <c r="L59" s="133"/>
      <c r="N59" s="9"/>
      <c r="O59" s="9"/>
      <c r="P59" s="9"/>
      <c r="Q59" s="134"/>
    </row>
    <row r="60" spans="1:17" x14ac:dyDescent="0.15">
      <c r="A60" s="136"/>
      <c r="B60" s="484" t="s">
        <v>80</v>
      </c>
      <c r="C60" s="484"/>
      <c r="D60" s="484"/>
      <c r="E60" s="485"/>
      <c r="F60" s="485"/>
      <c r="G60" s="144"/>
      <c r="H60" s="144"/>
      <c r="I60" s="144"/>
      <c r="J60" s="143"/>
      <c r="K60" s="143"/>
      <c r="L60" s="143"/>
      <c r="M60" s="143"/>
      <c r="N60" s="143"/>
      <c r="O60" s="136"/>
      <c r="P60" s="136"/>
      <c r="Q60" s="198"/>
    </row>
    <row r="61" spans="1:17" s="140" customFormat="1" ht="13.5" customHeight="1" x14ac:dyDescent="0.15">
      <c r="A61" s="143"/>
      <c r="B61" s="472" t="s">
        <v>81</v>
      </c>
      <c r="C61" s="472"/>
      <c r="D61" s="472"/>
      <c r="E61" s="477" t="s">
        <v>123</v>
      </c>
      <c r="F61" s="501"/>
      <c r="G61" s="501"/>
      <c r="H61" s="502" t="s">
        <v>109</v>
      </c>
      <c r="I61" s="503"/>
      <c r="J61" s="465" t="s">
        <v>124</v>
      </c>
      <c r="K61" s="479" t="s">
        <v>84</v>
      </c>
      <c r="L61" s="479"/>
      <c r="M61" s="148"/>
      <c r="N61" s="143"/>
      <c r="P61" s="143"/>
      <c r="Q61" s="143"/>
    </row>
    <row r="62" spans="1:17" s="140" customFormat="1" ht="13.5" customHeight="1" x14ac:dyDescent="0.15">
      <c r="A62" s="143"/>
      <c r="B62" s="145" t="s">
        <v>111</v>
      </c>
      <c r="C62" s="145" t="s">
        <v>125</v>
      </c>
      <c r="D62" s="145" t="s">
        <v>87</v>
      </c>
      <c r="E62" s="472" t="s">
        <v>59</v>
      </c>
      <c r="F62" s="472"/>
      <c r="G62" s="156"/>
      <c r="H62" s="504"/>
      <c r="I62" s="505"/>
      <c r="J62" s="465"/>
      <c r="K62" s="480" t="s">
        <v>89</v>
      </c>
      <c r="L62" s="480"/>
      <c r="M62" s="148"/>
      <c r="N62" s="143"/>
      <c r="O62" s="190" t="s">
        <v>113</v>
      </c>
      <c r="P62" s="143"/>
      <c r="Q62" s="143"/>
    </row>
    <row r="63" spans="1:17" s="191" customFormat="1" ht="13.5" customHeight="1" x14ac:dyDescent="0.15">
      <c r="A63" s="184"/>
      <c r="B63" s="150"/>
      <c r="C63" s="150"/>
      <c r="D63" s="150">
        <f>SUM(B63:C63)</f>
        <v>0</v>
      </c>
      <c r="E63" s="467"/>
      <c r="F63" s="467"/>
      <c r="G63" s="150"/>
      <c r="H63" s="498">
        <f>SUM(G63+E63)</f>
        <v>0</v>
      </c>
      <c r="I63" s="498"/>
      <c r="J63" s="150"/>
      <c r="K63" s="467">
        <f>SUM(H63-D63+J63)</f>
        <v>0</v>
      </c>
      <c r="L63" s="467"/>
      <c r="M63" s="151"/>
      <c r="N63" s="152"/>
      <c r="O63" s="153"/>
      <c r="P63" s="184"/>
      <c r="Q63" s="184" t="s">
        <v>114</v>
      </c>
    </row>
    <row r="64" spans="1:17" ht="9.9499999999999993" customHeight="1" x14ac:dyDescent="0.15">
      <c r="A64" s="136"/>
      <c r="B64" s="136"/>
      <c r="C64" s="136"/>
      <c r="D64" s="136"/>
      <c r="E64" s="136"/>
      <c r="F64" s="136"/>
      <c r="G64" s="136"/>
      <c r="H64" s="136"/>
      <c r="I64" s="136"/>
      <c r="J64" s="136"/>
      <c r="K64" s="136"/>
      <c r="L64" s="136"/>
      <c r="N64" s="136"/>
      <c r="O64" s="136"/>
      <c r="P64" s="136"/>
      <c r="Q64" s="184" t="s">
        <v>115</v>
      </c>
    </row>
    <row r="65" spans="1:17" x14ac:dyDescent="0.15">
      <c r="A65" s="136"/>
      <c r="B65" s="470" t="s">
        <v>90</v>
      </c>
      <c r="C65" s="470"/>
      <c r="D65" s="470"/>
      <c r="E65" s="471"/>
      <c r="F65" s="471"/>
      <c r="G65" s="471"/>
      <c r="H65" s="471"/>
      <c r="I65" s="471"/>
      <c r="J65" s="136"/>
      <c r="K65" s="136"/>
      <c r="L65" s="136"/>
      <c r="M65" s="136"/>
      <c r="N65" s="136"/>
      <c r="O65" s="136"/>
      <c r="P65" s="136"/>
      <c r="Q65" s="136"/>
    </row>
    <row r="66" spans="1:17" ht="13.5" customHeight="1" x14ac:dyDescent="0.15">
      <c r="A66" s="472" t="s">
        <v>91</v>
      </c>
      <c r="B66" s="453" t="s">
        <v>61</v>
      </c>
      <c r="C66" s="473"/>
      <c r="D66" s="476" t="s">
        <v>93</v>
      </c>
      <c r="E66" s="477" t="s">
        <v>94</v>
      </c>
      <c r="F66" s="478"/>
      <c r="G66" s="472" t="s">
        <v>117</v>
      </c>
      <c r="H66" s="453" t="s">
        <v>118</v>
      </c>
      <c r="I66" s="454"/>
      <c r="J66" s="463" t="s">
        <v>119</v>
      </c>
      <c r="K66" s="463" t="s">
        <v>43</v>
      </c>
      <c r="L66" s="496" t="s">
        <v>120</v>
      </c>
      <c r="M66" s="463" t="s">
        <v>121</v>
      </c>
      <c r="N66" s="465" t="s">
        <v>101</v>
      </c>
      <c r="O66" s="453" t="s">
        <v>122</v>
      </c>
      <c r="P66" s="454"/>
      <c r="Q66" s="136"/>
    </row>
    <row r="67" spans="1:17" x14ac:dyDescent="0.15">
      <c r="A67" s="472"/>
      <c r="B67" s="474"/>
      <c r="C67" s="475"/>
      <c r="D67" s="474"/>
      <c r="E67" s="145" t="s">
        <v>19</v>
      </c>
      <c r="F67" s="145" t="s">
        <v>20</v>
      </c>
      <c r="G67" s="472"/>
      <c r="H67" s="455"/>
      <c r="I67" s="456"/>
      <c r="J67" s="464"/>
      <c r="K67" s="464"/>
      <c r="L67" s="497"/>
      <c r="M67" s="464"/>
      <c r="N67" s="465"/>
      <c r="O67" s="455"/>
      <c r="P67" s="456"/>
      <c r="Q67" s="136"/>
    </row>
    <row r="68" spans="1:17" ht="27" customHeight="1" x14ac:dyDescent="0.15">
      <c r="A68" s="157"/>
      <c r="B68" s="457"/>
      <c r="C68" s="458"/>
      <c r="D68" s="192"/>
      <c r="E68" s="159"/>
      <c r="F68" s="147"/>
      <c r="G68" s="193"/>
      <c r="H68" s="492"/>
      <c r="I68" s="493"/>
      <c r="J68" s="161"/>
      <c r="K68" s="162"/>
      <c r="L68" s="163"/>
      <c r="M68" s="163"/>
      <c r="N68" s="163"/>
      <c r="O68" s="494"/>
      <c r="P68" s="495"/>
    </row>
    <row r="69" spans="1:17" ht="27" customHeight="1" x14ac:dyDescent="0.15">
      <c r="A69" s="164"/>
      <c r="B69" s="436"/>
      <c r="C69" s="437"/>
      <c r="D69" s="194"/>
      <c r="E69" s="166"/>
      <c r="F69" s="166"/>
      <c r="G69" s="195"/>
      <c r="H69" s="451"/>
      <c r="I69" s="452"/>
      <c r="J69" s="168"/>
      <c r="K69" s="169"/>
      <c r="L69" s="170"/>
      <c r="M69" s="170"/>
      <c r="N69" s="170"/>
      <c r="O69" s="440"/>
      <c r="P69" s="441"/>
    </row>
    <row r="70" spans="1:17" ht="27" customHeight="1" x14ac:dyDescent="0.15">
      <c r="A70" s="164"/>
      <c r="B70" s="436"/>
      <c r="C70" s="437"/>
      <c r="D70" s="194"/>
      <c r="E70" s="166"/>
      <c r="F70" s="166"/>
      <c r="G70" s="195"/>
      <c r="H70" s="451"/>
      <c r="I70" s="452"/>
      <c r="J70" s="168"/>
      <c r="K70" s="169"/>
      <c r="L70" s="170"/>
      <c r="M70" s="170"/>
      <c r="N70" s="170"/>
      <c r="O70" s="440"/>
      <c r="P70" s="441"/>
    </row>
    <row r="71" spans="1:17" ht="27" customHeight="1" x14ac:dyDescent="0.15">
      <c r="A71" s="164"/>
      <c r="B71" s="436"/>
      <c r="C71" s="437"/>
      <c r="D71" s="194"/>
      <c r="E71" s="166"/>
      <c r="F71" s="166"/>
      <c r="G71" s="195"/>
      <c r="H71" s="451"/>
      <c r="I71" s="452"/>
      <c r="J71" s="168"/>
      <c r="K71" s="169"/>
      <c r="L71" s="170"/>
      <c r="M71" s="170"/>
      <c r="N71" s="170"/>
      <c r="O71" s="440"/>
      <c r="P71" s="441"/>
    </row>
    <row r="72" spans="1:17" ht="27" customHeight="1" x14ac:dyDescent="0.15">
      <c r="A72" s="164"/>
      <c r="B72" s="436"/>
      <c r="C72" s="437"/>
      <c r="D72" s="194"/>
      <c r="E72" s="166"/>
      <c r="F72" s="166"/>
      <c r="G72" s="195"/>
      <c r="H72" s="451"/>
      <c r="I72" s="452"/>
      <c r="J72" s="168"/>
      <c r="K72" s="169"/>
      <c r="L72" s="170"/>
      <c r="M72" s="170"/>
      <c r="N72" s="170"/>
      <c r="O72" s="440"/>
      <c r="P72" s="441"/>
    </row>
    <row r="73" spans="1:17" ht="27" customHeight="1" x14ac:dyDescent="0.15">
      <c r="A73" s="164"/>
      <c r="B73" s="436"/>
      <c r="C73" s="437"/>
      <c r="D73" s="194"/>
      <c r="E73" s="166"/>
      <c r="F73" s="166"/>
      <c r="G73" s="195"/>
      <c r="H73" s="451"/>
      <c r="I73" s="452"/>
      <c r="J73" s="168"/>
      <c r="K73" s="169"/>
      <c r="L73" s="170"/>
      <c r="M73" s="170"/>
      <c r="N73" s="170"/>
      <c r="O73" s="440"/>
      <c r="P73" s="441"/>
    </row>
    <row r="74" spans="1:17" ht="27" customHeight="1" x14ac:dyDescent="0.15">
      <c r="A74" s="173"/>
      <c r="B74" s="442"/>
      <c r="C74" s="443"/>
      <c r="D74" s="196"/>
      <c r="E74" s="175"/>
      <c r="F74" s="175"/>
      <c r="G74" s="197"/>
      <c r="H74" s="486"/>
      <c r="I74" s="487"/>
      <c r="J74" s="177"/>
      <c r="K74" s="178"/>
      <c r="L74" s="179"/>
      <c r="M74" s="179"/>
      <c r="N74" s="179"/>
      <c r="O74" s="488"/>
      <c r="P74" s="489"/>
    </row>
    <row r="75" spans="1:17" x14ac:dyDescent="0.15">
      <c r="A75" s="448" t="s">
        <v>103</v>
      </c>
      <c r="B75" s="449"/>
      <c r="C75" s="449"/>
      <c r="D75" s="450"/>
      <c r="E75" s="199">
        <f>SUM(E68:E74)</f>
        <v>0</v>
      </c>
      <c r="F75" s="180">
        <f>SUM(F68:F74)</f>
        <v>0</v>
      </c>
      <c r="G75" s="129"/>
      <c r="H75" s="184"/>
      <c r="I75" s="184"/>
      <c r="J75" s="181"/>
      <c r="K75" s="182"/>
      <c r="L75" s="183">
        <f>SUM(L68:L74)</f>
        <v>0</v>
      </c>
      <c r="M75" s="183">
        <f>SUM(M68:M74)</f>
        <v>0</v>
      </c>
      <c r="N75" s="183">
        <f>SUM(N68:N74)</f>
        <v>0</v>
      </c>
      <c r="O75" s="490">
        <f>SUM(L75-M75-N75)</f>
        <v>0</v>
      </c>
      <c r="P75" s="491"/>
    </row>
    <row r="76" spans="1:17" ht="5.0999999999999996" customHeight="1" x14ac:dyDescent="0.15">
      <c r="B76" s="200"/>
      <c r="C76" s="200"/>
      <c r="D76" s="200"/>
    </row>
    <row r="77" spans="1:17" ht="8.1" customHeight="1" x14ac:dyDescent="0.15">
      <c r="B77" s="200"/>
      <c r="C77" s="200"/>
      <c r="D77" s="200"/>
    </row>
    <row r="78" spans="1:17" ht="2.1" customHeight="1" x14ac:dyDescent="0.15">
      <c r="B78" s="200"/>
      <c r="C78" s="200"/>
      <c r="D78" s="200"/>
    </row>
    <row r="79" spans="1:17" s="136" customFormat="1" ht="10.5" x14ac:dyDescent="0.15">
      <c r="B79" s="136" t="s">
        <v>104</v>
      </c>
    </row>
    <row r="80" spans="1:17" s="136" customFormat="1" ht="15" customHeight="1" x14ac:dyDescent="0.15">
      <c r="B80" s="136" t="s">
        <v>105</v>
      </c>
    </row>
    <row r="81" spans="2:17" s="136" customFormat="1" ht="10.5" x14ac:dyDescent="0.15"/>
    <row r="82" spans="2:17" s="136" customFormat="1" ht="13.5" customHeight="1" x14ac:dyDescent="0.15">
      <c r="D82" s="184"/>
    </row>
    <row r="83" spans="2:17" s="136" customFormat="1" ht="13.5" customHeight="1" x14ac:dyDescent="0.15"/>
    <row r="84" spans="2:17" s="136" customFormat="1" ht="14.25" customHeight="1" x14ac:dyDescent="0.15">
      <c r="E84" s="201"/>
      <c r="F84" s="201"/>
      <c r="G84" s="201"/>
      <c r="H84" s="201"/>
      <c r="I84" s="201"/>
      <c r="J84" s="201"/>
      <c r="K84" s="201"/>
      <c r="L84" s="201"/>
      <c r="M84" s="201"/>
      <c r="N84" s="201"/>
      <c r="O84" s="201"/>
      <c r="P84" s="201"/>
      <c r="Q84" s="201"/>
    </row>
    <row r="85" spans="2:17" s="136" customFormat="1" ht="4.5" customHeight="1" x14ac:dyDescent="0.15">
      <c r="E85" s="142"/>
      <c r="F85" s="142"/>
      <c r="G85" s="142"/>
      <c r="H85" s="142"/>
      <c r="I85" s="142"/>
      <c r="J85" s="142"/>
      <c r="K85" s="142"/>
      <c r="L85" s="142"/>
      <c r="M85" s="142"/>
      <c r="N85" s="142"/>
      <c r="O85" s="142"/>
      <c r="P85" s="142"/>
      <c r="Q85" s="142"/>
    </row>
    <row r="86" spans="2:17" s="136" customFormat="1" ht="13.5" customHeight="1" x14ac:dyDescent="0.15">
      <c r="J86" s="184"/>
    </row>
    <row r="87" spans="2:17" s="136" customFormat="1" ht="10.5" x14ac:dyDescent="0.15"/>
    <row r="88" spans="2:17" s="136" customFormat="1" ht="10.5" x14ac:dyDescent="0.15"/>
    <row r="89" spans="2:17" x14ac:dyDescent="0.15">
      <c r="B89" s="16"/>
    </row>
    <row r="90" spans="2:17" x14ac:dyDescent="0.15">
      <c r="C90" s="16"/>
      <c r="D90" s="16"/>
      <c r="E90" s="16"/>
      <c r="F90" s="16"/>
      <c r="G90" s="16"/>
      <c r="H90" s="16"/>
      <c r="I90" s="16"/>
      <c r="J90" s="16"/>
      <c r="K90" s="16"/>
      <c r="L90" s="16"/>
      <c r="M90" s="16"/>
      <c r="N90" s="16"/>
      <c r="O90" s="16"/>
      <c r="P90" s="16"/>
      <c r="Q90" s="16"/>
    </row>
    <row r="91" spans="2:17" x14ac:dyDescent="0.15">
      <c r="C91" s="16"/>
      <c r="D91" s="16"/>
      <c r="E91" s="16"/>
      <c r="F91" s="16"/>
      <c r="G91" s="16"/>
      <c r="H91" s="16"/>
      <c r="I91" s="16"/>
      <c r="J91" s="16"/>
      <c r="K91" s="16"/>
      <c r="L91" s="16"/>
      <c r="M91" s="16"/>
      <c r="N91" s="16"/>
      <c r="O91" s="16"/>
      <c r="P91" s="16"/>
      <c r="Q91" s="16"/>
    </row>
    <row r="92" spans="2:17" x14ac:dyDescent="0.15">
      <c r="C92" s="16"/>
      <c r="D92" s="16"/>
      <c r="E92" s="16"/>
      <c r="F92" s="16"/>
      <c r="G92" s="16"/>
      <c r="H92" s="16"/>
      <c r="I92" s="16"/>
      <c r="J92" s="16"/>
      <c r="K92" s="16"/>
      <c r="L92" s="16"/>
      <c r="M92" s="16"/>
      <c r="N92" s="16"/>
      <c r="O92" s="16"/>
      <c r="P92" s="16"/>
      <c r="Q92" s="16"/>
    </row>
    <row r="93" spans="2:17" x14ac:dyDescent="0.15">
      <c r="B93" s="185"/>
      <c r="C93" s="185"/>
      <c r="D93" s="185"/>
      <c r="E93" s="185"/>
      <c r="F93" s="185"/>
      <c r="G93" s="185"/>
      <c r="H93" s="185"/>
      <c r="I93" s="185"/>
      <c r="J93" s="185"/>
      <c r="K93" s="185"/>
      <c r="L93" s="185"/>
      <c r="M93" s="185"/>
      <c r="N93" s="185"/>
      <c r="O93" s="185"/>
      <c r="P93" s="185"/>
      <c r="Q93" s="185"/>
    </row>
    <row r="94" spans="2:17" x14ac:dyDescent="0.15">
      <c r="B94" s="185"/>
      <c r="C94" s="185"/>
      <c r="D94" s="185"/>
      <c r="E94" s="185"/>
      <c r="F94" s="185"/>
      <c r="G94" s="185"/>
      <c r="H94" s="185"/>
      <c r="I94" s="185"/>
      <c r="J94" s="185"/>
      <c r="K94" s="185"/>
      <c r="L94" s="185"/>
      <c r="M94" s="185"/>
      <c r="N94" s="185"/>
      <c r="O94" s="185"/>
      <c r="P94" s="185"/>
      <c r="Q94" s="185"/>
    </row>
    <row r="95" spans="2:17" x14ac:dyDescent="0.15">
      <c r="B95" s="185"/>
      <c r="C95" s="185"/>
      <c r="D95" s="185"/>
      <c r="E95" s="185"/>
      <c r="F95" s="185"/>
      <c r="G95" s="185"/>
      <c r="H95" s="185"/>
      <c r="I95" s="185"/>
      <c r="J95" s="185"/>
      <c r="K95" s="185"/>
      <c r="L95" s="185"/>
      <c r="M95" s="185"/>
      <c r="N95" s="185"/>
      <c r="O95" s="185"/>
      <c r="P95" s="185"/>
      <c r="Q95" s="185"/>
    </row>
    <row r="96" spans="2:17" x14ac:dyDescent="0.15">
      <c r="B96" s="185"/>
      <c r="C96" s="185"/>
      <c r="D96" s="185"/>
      <c r="E96" s="185"/>
      <c r="F96" s="185"/>
      <c r="G96" s="185"/>
      <c r="H96" s="185"/>
      <c r="I96" s="185"/>
      <c r="J96" s="185"/>
      <c r="K96" s="185"/>
      <c r="L96" s="185"/>
      <c r="M96" s="185"/>
      <c r="N96" s="185"/>
      <c r="O96" s="185"/>
      <c r="P96" s="185"/>
      <c r="Q96" s="185"/>
    </row>
    <row r="97" spans="2:17" x14ac:dyDescent="0.15">
      <c r="B97" s="185"/>
      <c r="C97" s="185"/>
      <c r="D97" s="185"/>
      <c r="E97" s="185"/>
      <c r="F97" s="185"/>
      <c r="G97" s="185"/>
      <c r="H97" s="185"/>
      <c r="I97" s="185"/>
      <c r="J97" s="185"/>
      <c r="K97" s="185"/>
      <c r="L97" s="185"/>
      <c r="M97" s="185"/>
      <c r="N97" s="185"/>
      <c r="O97" s="185"/>
      <c r="P97" s="185"/>
      <c r="Q97" s="185"/>
    </row>
    <row r="98" spans="2:17" x14ac:dyDescent="0.15">
      <c r="B98" s="185"/>
      <c r="C98" s="185"/>
      <c r="D98" s="185"/>
      <c r="E98" s="185"/>
      <c r="F98" s="185"/>
      <c r="G98" s="185"/>
      <c r="H98" s="185"/>
      <c r="I98" s="185"/>
      <c r="J98" s="185"/>
      <c r="K98" s="185"/>
      <c r="L98" s="185"/>
      <c r="M98" s="185"/>
      <c r="N98" s="185"/>
      <c r="O98" s="185"/>
      <c r="P98" s="185"/>
      <c r="Q98" s="185"/>
    </row>
    <row r="99" spans="2:17" x14ac:dyDescent="0.15">
      <c r="B99" s="185"/>
      <c r="C99" s="185"/>
      <c r="D99" s="185"/>
      <c r="E99" s="185"/>
      <c r="F99" s="185"/>
      <c r="G99" s="185"/>
      <c r="H99" s="185"/>
      <c r="I99" s="185"/>
      <c r="J99" s="185"/>
      <c r="K99" s="185"/>
      <c r="L99" s="185"/>
      <c r="M99" s="185"/>
      <c r="N99" s="185"/>
      <c r="O99" s="185"/>
      <c r="P99" s="185"/>
      <c r="Q99" s="185"/>
    </row>
    <row r="100" spans="2:17" x14ac:dyDescent="0.15">
      <c r="B100" s="185"/>
      <c r="C100" s="185"/>
      <c r="D100" s="185"/>
      <c r="E100" s="185"/>
      <c r="F100" s="185"/>
      <c r="G100" s="185"/>
      <c r="H100" s="185"/>
      <c r="I100" s="185"/>
      <c r="J100" s="185"/>
      <c r="K100" s="185"/>
      <c r="L100" s="185"/>
      <c r="M100" s="185"/>
      <c r="N100" s="185"/>
      <c r="O100" s="185"/>
      <c r="P100" s="185"/>
      <c r="Q100" s="185"/>
    </row>
    <row r="101" spans="2:17" x14ac:dyDescent="0.15">
      <c r="B101" s="185"/>
      <c r="C101" s="185"/>
      <c r="D101" s="185"/>
      <c r="E101" s="185"/>
      <c r="F101" s="185"/>
      <c r="G101" s="185"/>
      <c r="H101" s="185"/>
      <c r="I101" s="185"/>
      <c r="J101" s="185"/>
      <c r="K101" s="185"/>
      <c r="L101" s="185"/>
      <c r="M101" s="185"/>
      <c r="N101" s="185"/>
      <c r="O101" s="185"/>
      <c r="P101" s="185"/>
      <c r="Q101" s="185"/>
    </row>
    <row r="102" spans="2:17" x14ac:dyDescent="0.15">
      <c r="B102" s="185"/>
      <c r="C102" s="185"/>
      <c r="D102" s="185"/>
      <c r="E102" s="185"/>
      <c r="F102" s="185"/>
      <c r="G102" s="185"/>
      <c r="H102" s="185"/>
      <c r="I102" s="185"/>
      <c r="J102" s="185"/>
      <c r="K102" s="185"/>
      <c r="L102" s="185"/>
      <c r="M102" s="185"/>
      <c r="N102" s="185"/>
      <c r="O102" s="185"/>
      <c r="P102" s="185"/>
      <c r="Q102" s="185"/>
    </row>
  </sheetData>
  <mergeCells count="107">
    <mergeCell ref="B21:D21"/>
    <mergeCell ref="E21:G21"/>
    <mergeCell ref="H21:I22"/>
    <mergeCell ref="J21:J22"/>
    <mergeCell ref="K21:L21"/>
    <mergeCell ref="E22:F22"/>
    <mergeCell ref="K22:L22"/>
    <mergeCell ref="A1:P1"/>
    <mergeCell ref="B3:L4"/>
    <mergeCell ref="B7:D7"/>
    <mergeCell ref="N11:P11"/>
    <mergeCell ref="N12:P12"/>
    <mergeCell ref="B20:D20"/>
    <mergeCell ref="E20:F20"/>
    <mergeCell ref="E23:F23"/>
    <mergeCell ref="H23:I23"/>
    <mergeCell ref="K23:L23"/>
    <mergeCell ref="B25:D25"/>
    <mergeCell ref="E25:I25"/>
    <mergeCell ref="A26:A27"/>
    <mergeCell ref="B26:C27"/>
    <mergeCell ref="D26:D27"/>
    <mergeCell ref="E26:F26"/>
    <mergeCell ref="G26:G27"/>
    <mergeCell ref="B30:C30"/>
    <mergeCell ref="H30:I30"/>
    <mergeCell ref="O30:P30"/>
    <mergeCell ref="B31:C31"/>
    <mergeCell ref="H31:I31"/>
    <mergeCell ref="O31:P31"/>
    <mergeCell ref="O26:P27"/>
    <mergeCell ref="B28:C28"/>
    <mergeCell ref="H28:I28"/>
    <mergeCell ref="O28:P28"/>
    <mergeCell ref="B29:C29"/>
    <mergeCell ref="H29:I29"/>
    <mergeCell ref="O29:P29"/>
    <mergeCell ref="H26:I27"/>
    <mergeCell ref="J26:J27"/>
    <mergeCell ref="K26:K27"/>
    <mergeCell ref="L26:L27"/>
    <mergeCell ref="M26:M27"/>
    <mergeCell ref="N26:N27"/>
    <mergeCell ref="B34:C34"/>
    <mergeCell ref="H34:I34"/>
    <mergeCell ref="O34:P34"/>
    <mergeCell ref="A35:D35"/>
    <mergeCell ref="O35:P35"/>
    <mergeCell ref="H37:P37"/>
    <mergeCell ref="B32:C32"/>
    <mergeCell ref="H32:I32"/>
    <mergeCell ref="O32:P32"/>
    <mergeCell ref="B33:C33"/>
    <mergeCell ref="H33:I33"/>
    <mergeCell ref="O33:P33"/>
    <mergeCell ref="E62:F62"/>
    <mergeCell ref="K62:L62"/>
    <mergeCell ref="E63:F63"/>
    <mergeCell ref="H63:I63"/>
    <mergeCell ref="K63:L63"/>
    <mergeCell ref="B65:D65"/>
    <mergeCell ref="E65:I65"/>
    <mergeCell ref="A41:P41"/>
    <mergeCell ref="N51:P51"/>
    <mergeCell ref="N52:P52"/>
    <mergeCell ref="B60:D60"/>
    <mergeCell ref="E60:F60"/>
    <mergeCell ref="B61:D61"/>
    <mergeCell ref="E61:G61"/>
    <mergeCell ref="H61:I62"/>
    <mergeCell ref="J61:J62"/>
    <mergeCell ref="K61:L61"/>
    <mergeCell ref="J66:J67"/>
    <mergeCell ref="K66:K67"/>
    <mergeCell ref="L66:L67"/>
    <mergeCell ref="M66:M67"/>
    <mergeCell ref="N66:N67"/>
    <mergeCell ref="O66:P67"/>
    <mergeCell ref="A66:A67"/>
    <mergeCell ref="B66:C67"/>
    <mergeCell ref="D66:D67"/>
    <mergeCell ref="E66:F66"/>
    <mergeCell ref="G66:G67"/>
    <mergeCell ref="H66:I67"/>
    <mergeCell ref="B70:C70"/>
    <mergeCell ref="H70:I70"/>
    <mergeCell ref="O70:P70"/>
    <mergeCell ref="B71:C71"/>
    <mergeCell ref="H71:I71"/>
    <mergeCell ref="O71:P71"/>
    <mergeCell ref="B68:C68"/>
    <mergeCell ref="H68:I68"/>
    <mergeCell ref="O68:P68"/>
    <mergeCell ref="B69:C69"/>
    <mergeCell ref="H69:I69"/>
    <mergeCell ref="O69:P69"/>
    <mergeCell ref="B74:C74"/>
    <mergeCell ref="H74:I74"/>
    <mergeCell ref="O74:P74"/>
    <mergeCell ref="A75:D75"/>
    <mergeCell ref="O75:P75"/>
    <mergeCell ref="B72:C72"/>
    <mergeCell ref="H72:I72"/>
    <mergeCell ref="O72:P72"/>
    <mergeCell ref="B73:C73"/>
    <mergeCell ref="H73:I73"/>
    <mergeCell ref="O73:P73"/>
  </mergeCells>
  <phoneticPr fontId="3"/>
  <pageMargins left="0.78740157480314965" right="0.39370078740157483" top="0.39370078740157483" bottom="0.19685039370078741" header="0.51181102362204722" footer="0.19685039370078741"/>
  <pageSetup paperSize="9" scale="98" orientation="landscape" r:id="rId1"/>
  <headerFooter alignWithMargins="0"/>
  <rowBreaks count="1" manualBreakCount="1">
    <brk id="40"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2B186-0289-4AC5-B6E4-BF2E0AA1DF59}">
  <sheetPr codeName="Sheet8"/>
  <dimension ref="A1:Q52"/>
  <sheetViews>
    <sheetView zoomScaleNormal="120" workbookViewId="0">
      <selection sqref="A1:P1"/>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2.625" style="3" customWidth="1"/>
    <col min="14" max="14" width="8.625" style="3" hidden="1" customWidth="1"/>
    <col min="15" max="15" width="12.625" style="3" customWidth="1"/>
    <col min="16" max="16" width="4.125" style="3" customWidth="1"/>
    <col min="17" max="17" width="6.625"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2.625" style="3" customWidth="1"/>
    <col min="270" max="270" width="0" style="3" hidden="1" customWidth="1"/>
    <col min="271" max="271" width="12.625" style="3" customWidth="1"/>
    <col min="272" max="272" width="4.125" style="3" customWidth="1"/>
    <col min="273" max="273" width="6.625"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2.625" style="3" customWidth="1"/>
    <col min="526" max="526" width="0" style="3" hidden="1" customWidth="1"/>
    <col min="527" max="527" width="12.625" style="3" customWidth="1"/>
    <col min="528" max="528" width="4.125" style="3" customWidth="1"/>
    <col min="529" max="529" width="6.625"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2.625" style="3" customWidth="1"/>
    <col min="782" max="782" width="0" style="3" hidden="1" customWidth="1"/>
    <col min="783" max="783" width="12.625" style="3" customWidth="1"/>
    <col min="784" max="784" width="4.125" style="3" customWidth="1"/>
    <col min="785" max="785" width="6.625"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2.625" style="3" customWidth="1"/>
    <col min="1038" max="1038" width="0" style="3" hidden="1" customWidth="1"/>
    <col min="1039" max="1039" width="12.625" style="3" customWidth="1"/>
    <col min="1040" max="1040" width="4.125" style="3" customWidth="1"/>
    <col min="1041" max="1041" width="6.625"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2.625" style="3" customWidth="1"/>
    <col min="1294" max="1294" width="0" style="3" hidden="1" customWidth="1"/>
    <col min="1295" max="1295" width="12.625" style="3" customWidth="1"/>
    <col min="1296" max="1296" width="4.125" style="3" customWidth="1"/>
    <col min="1297" max="1297" width="6.625"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2.625" style="3" customWidth="1"/>
    <col min="1550" max="1550" width="0" style="3" hidden="1" customWidth="1"/>
    <col min="1551" max="1551" width="12.625" style="3" customWidth="1"/>
    <col min="1552" max="1552" width="4.125" style="3" customWidth="1"/>
    <col min="1553" max="1553" width="6.625"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2.625" style="3" customWidth="1"/>
    <col min="1806" max="1806" width="0" style="3" hidden="1" customWidth="1"/>
    <col min="1807" max="1807" width="12.625" style="3" customWidth="1"/>
    <col min="1808" max="1808" width="4.125" style="3" customWidth="1"/>
    <col min="1809" max="1809" width="6.625"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2.625" style="3" customWidth="1"/>
    <col min="2062" max="2062" width="0" style="3" hidden="1" customWidth="1"/>
    <col min="2063" max="2063" width="12.625" style="3" customWidth="1"/>
    <col min="2064" max="2064" width="4.125" style="3" customWidth="1"/>
    <col min="2065" max="2065" width="6.625"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2.625" style="3" customWidth="1"/>
    <col min="2318" max="2318" width="0" style="3" hidden="1" customWidth="1"/>
    <col min="2319" max="2319" width="12.625" style="3" customWidth="1"/>
    <col min="2320" max="2320" width="4.125" style="3" customWidth="1"/>
    <col min="2321" max="2321" width="6.625"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2.625" style="3" customWidth="1"/>
    <col min="2574" max="2574" width="0" style="3" hidden="1" customWidth="1"/>
    <col min="2575" max="2575" width="12.625" style="3" customWidth="1"/>
    <col min="2576" max="2576" width="4.125" style="3" customWidth="1"/>
    <col min="2577" max="2577" width="6.625"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2.625" style="3" customWidth="1"/>
    <col min="2830" max="2830" width="0" style="3" hidden="1" customWidth="1"/>
    <col min="2831" max="2831" width="12.625" style="3" customWidth="1"/>
    <col min="2832" max="2832" width="4.125" style="3" customWidth="1"/>
    <col min="2833" max="2833" width="6.625"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2.625" style="3" customWidth="1"/>
    <col min="3086" max="3086" width="0" style="3" hidden="1" customWidth="1"/>
    <col min="3087" max="3087" width="12.625" style="3" customWidth="1"/>
    <col min="3088" max="3088" width="4.125" style="3" customWidth="1"/>
    <col min="3089" max="3089" width="6.625"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2.625" style="3" customWidth="1"/>
    <col min="3342" max="3342" width="0" style="3" hidden="1" customWidth="1"/>
    <col min="3343" max="3343" width="12.625" style="3" customWidth="1"/>
    <col min="3344" max="3344" width="4.125" style="3" customWidth="1"/>
    <col min="3345" max="3345" width="6.625"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2.625" style="3" customWidth="1"/>
    <col min="3598" max="3598" width="0" style="3" hidden="1" customWidth="1"/>
    <col min="3599" max="3599" width="12.625" style="3" customWidth="1"/>
    <col min="3600" max="3600" width="4.125" style="3" customWidth="1"/>
    <col min="3601" max="3601" width="6.625"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2.625" style="3" customWidth="1"/>
    <col min="3854" max="3854" width="0" style="3" hidden="1" customWidth="1"/>
    <col min="3855" max="3855" width="12.625" style="3" customWidth="1"/>
    <col min="3856" max="3856" width="4.125" style="3" customWidth="1"/>
    <col min="3857" max="3857" width="6.625"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2.625" style="3" customWidth="1"/>
    <col min="4110" max="4110" width="0" style="3" hidden="1" customWidth="1"/>
    <col min="4111" max="4111" width="12.625" style="3" customWidth="1"/>
    <col min="4112" max="4112" width="4.125" style="3" customWidth="1"/>
    <col min="4113" max="4113" width="6.625"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2.625" style="3" customWidth="1"/>
    <col min="4366" max="4366" width="0" style="3" hidden="1" customWidth="1"/>
    <col min="4367" max="4367" width="12.625" style="3" customWidth="1"/>
    <col min="4368" max="4368" width="4.125" style="3" customWidth="1"/>
    <col min="4369" max="4369" width="6.625"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2.625" style="3" customWidth="1"/>
    <col min="4622" max="4622" width="0" style="3" hidden="1" customWidth="1"/>
    <col min="4623" max="4623" width="12.625" style="3" customWidth="1"/>
    <col min="4624" max="4624" width="4.125" style="3" customWidth="1"/>
    <col min="4625" max="4625" width="6.625"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2.625" style="3" customWidth="1"/>
    <col min="4878" max="4878" width="0" style="3" hidden="1" customWidth="1"/>
    <col min="4879" max="4879" width="12.625" style="3" customWidth="1"/>
    <col min="4880" max="4880" width="4.125" style="3" customWidth="1"/>
    <col min="4881" max="4881" width="6.625"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2.625" style="3" customWidth="1"/>
    <col min="5134" max="5134" width="0" style="3" hidden="1" customWidth="1"/>
    <col min="5135" max="5135" width="12.625" style="3" customWidth="1"/>
    <col min="5136" max="5136" width="4.125" style="3" customWidth="1"/>
    <col min="5137" max="5137" width="6.625"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2.625" style="3" customWidth="1"/>
    <col min="5390" max="5390" width="0" style="3" hidden="1" customWidth="1"/>
    <col min="5391" max="5391" width="12.625" style="3" customWidth="1"/>
    <col min="5392" max="5392" width="4.125" style="3" customWidth="1"/>
    <col min="5393" max="5393" width="6.625"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2.625" style="3" customWidth="1"/>
    <col min="5646" max="5646" width="0" style="3" hidden="1" customWidth="1"/>
    <col min="5647" max="5647" width="12.625" style="3" customWidth="1"/>
    <col min="5648" max="5648" width="4.125" style="3" customWidth="1"/>
    <col min="5649" max="5649" width="6.625"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2.625" style="3" customWidth="1"/>
    <col min="5902" max="5902" width="0" style="3" hidden="1" customWidth="1"/>
    <col min="5903" max="5903" width="12.625" style="3" customWidth="1"/>
    <col min="5904" max="5904" width="4.125" style="3" customWidth="1"/>
    <col min="5905" max="5905" width="6.625"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2.625" style="3" customWidth="1"/>
    <col min="6158" max="6158" width="0" style="3" hidden="1" customWidth="1"/>
    <col min="6159" max="6159" width="12.625" style="3" customWidth="1"/>
    <col min="6160" max="6160" width="4.125" style="3" customWidth="1"/>
    <col min="6161" max="6161" width="6.625"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2.625" style="3" customWidth="1"/>
    <col min="6414" max="6414" width="0" style="3" hidden="1" customWidth="1"/>
    <col min="6415" max="6415" width="12.625" style="3" customWidth="1"/>
    <col min="6416" max="6416" width="4.125" style="3" customWidth="1"/>
    <col min="6417" max="6417" width="6.625"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2.625" style="3" customWidth="1"/>
    <col min="6670" max="6670" width="0" style="3" hidden="1" customWidth="1"/>
    <col min="6671" max="6671" width="12.625" style="3" customWidth="1"/>
    <col min="6672" max="6672" width="4.125" style="3" customWidth="1"/>
    <col min="6673" max="6673" width="6.625"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2.625" style="3" customWidth="1"/>
    <col min="6926" max="6926" width="0" style="3" hidden="1" customWidth="1"/>
    <col min="6927" max="6927" width="12.625" style="3" customWidth="1"/>
    <col min="6928" max="6928" width="4.125" style="3" customWidth="1"/>
    <col min="6929" max="6929" width="6.625"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2.625" style="3" customWidth="1"/>
    <col min="7182" max="7182" width="0" style="3" hidden="1" customWidth="1"/>
    <col min="7183" max="7183" width="12.625" style="3" customWidth="1"/>
    <col min="7184" max="7184" width="4.125" style="3" customWidth="1"/>
    <col min="7185" max="7185" width="6.625"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2.625" style="3" customWidth="1"/>
    <col min="7438" max="7438" width="0" style="3" hidden="1" customWidth="1"/>
    <col min="7439" max="7439" width="12.625" style="3" customWidth="1"/>
    <col min="7440" max="7440" width="4.125" style="3" customWidth="1"/>
    <col min="7441" max="7441" width="6.625"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2.625" style="3" customWidth="1"/>
    <col min="7694" max="7694" width="0" style="3" hidden="1" customWidth="1"/>
    <col min="7695" max="7695" width="12.625" style="3" customWidth="1"/>
    <col min="7696" max="7696" width="4.125" style="3" customWidth="1"/>
    <col min="7697" max="7697" width="6.625"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2.625" style="3" customWidth="1"/>
    <col min="7950" max="7950" width="0" style="3" hidden="1" customWidth="1"/>
    <col min="7951" max="7951" width="12.625" style="3" customWidth="1"/>
    <col min="7952" max="7952" width="4.125" style="3" customWidth="1"/>
    <col min="7953" max="7953" width="6.625"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2.625" style="3" customWidth="1"/>
    <col min="8206" max="8206" width="0" style="3" hidden="1" customWidth="1"/>
    <col min="8207" max="8207" width="12.625" style="3" customWidth="1"/>
    <col min="8208" max="8208" width="4.125" style="3" customWidth="1"/>
    <col min="8209" max="8209" width="6.625"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2.625" style="3" customWidth="1"/>
    <col min="8462" max="8462" width="0" style="3" hidden="1" customWidth="1"/>
    <col min="8463" max="8463" width="12.625" style="3" customWidth="1"/>
    <col min="8464" max="8464" width="4.125" style="3" customWidth="1"/>
    <col min="8465" max="8465" width="6.625"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2.625" style="3" customWidth="1"/>
    <col min="8718" max="8718" width="0" style="3" hidden="1" customWidth="1"/>
    <col min="8719" max="8719" width="12.625" style="3" customWidth="1"/>
    <col min="8720" max="8720" width="4.125" style="3" customWidth="1"/>
    <col min="8721" max="8721" width="6.625"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2.625" style="3" customWidth="1"/>
    <col min="8974" max="8974" width="0" style="3" hidden="1" customWidth="1"/>
    <col min="8975" max="8975" width="12.625" style="3" customWidth="1"/>
    <col min="8976" max="8976" width="4.125" style="3" customWidth="1"/>
    <col min="8977" max="8977" width="6.625"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2.625" style="3" customWidth="1"/>
    <col min="9230" max="9230" width="0" style="3" hidden="1" customWidth="1"/>
    <col min="9231" max="9231" width="12.625" style="3" customWidth="1"/>
    <col min="9232" max="9232" width="4.125" style="3" customWidth="1"/>
    <col min="9233" max="9233" width="6.625"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2.625" style="3" customWidth="1"/>
    <col min="9486" max="9486" width="0" style="3" hidden="1" customWidth="1"/>
    <col min="9487" max="9487" width="12.625" style="3" customWidth="1"/>
    <col min="9488" max="9488" width="4.125" style="3" customWidth="1"/>
    <col min="9489" max="9489" width="6.625"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2.625" style="3" customWidth="1"/>
    <col min="9742" max="9742" width="0" style="3" hidden="1" customWidth="1"/>
    <col min="9743" max="9743" width="12.625" style="3" customWidth="1"/>
    <col min="9744" max="9744" width="4.125" style="3" customWidth="1"/>
    <col min="9745" max="9745" width="6.625"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2.625" style="3" customWidth="1"/>
    <col min="9998" max="9998" width="0" style="3" hidden="1" customWidth="1"/>
    <col min="9999" max="9999" width="12.625" style="3" customWidth="1"/>
    <col min="10000" max="10000" width="4.125" style="3" customWidth="1"/>
    <col min="10001" max="10001" width="6.625"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2.625" style="3" customWidth="1"/>
    <col min="10254" max="10254" width="0" style="3" hidden="1" customWidth="1"/>
    <col min="10255" max="10255" width="12.625" style="3" customWidth="1"/>
    <col min="10256" max="10256" width="4.125" style="3" customWidth="1"/>
    <col min="10257" max="10257" width="6.625"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2.625" style="3" customWidth="1"/>
    <col min="10510" max="10510" width="0" style="3" hidden="1" customWidth="1"/>
    <col min="10511" max="10511" width="12.625" style="3" customWidth="1"/>
    <col min="10512" max="10512" width="4.125" style="3" customWidth="1"/>
    <col min="10513" max="10513" width="6.625"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2.625" style="3" customWidth="1"/>
    <col min="10766" max="10766" width="0" style="3" hidden="1" customWidth="1"/>
    <col min="10767" max="10767" width="12.625" style="3" customWidth="1"/>
    <col min="10768" max="10768" width="4.125" style="3" customWidth="1"/>
    <col min="10769" max="10769" width="6.625"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2.625" style="3" customWidth="1"/>
    <col min="11022" max="11022" width="0" style="3" hidden="1" customWidth="1"/>
    <col min="11023" max="11023" width="12.625" style="3" customWidth="1"/>
    <col min="11024" max="11024" width="4.125" style="3" customWidth="1"/>
    <col min="11025" max="11025" width="6.625"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2.625" style="3" customWidth="1"/>
    <col min="11278" max="11278" width="0" style="3" hidden="1" customWidth="1"/>
    <col min="11279" max="11279" width="12.625" style="3" customWidth="1"/>
    <col min="11280" max="11280" width="4.125" style="3" customWidth="1"/>
    <col min="11281" max="11281" width="6.625"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2.625" style="3" customWidth="1"/>
    <col min="11534" max="11534" width="0" style="3" hidden="1" customWidth="1"/>
    <col min="11535" max="11535" width="12.625" style="3" customWidth="1"/>
    <col min="11536" max="11536" width="4.125" style="3" customWidth="1"/>
    <col min="11537" max="11537" width="6.625"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2.625" style="3" customWidth="1"/>
    <col min="11790" max="11790" width="0" style="3" hidden="1" customWidth="1"/>
    <col min="11791" max="11791" width="12.625" style="3" customWidth="1"/>
    <col min="11792" max="11792" width="4.125" style="3" customWidth="1"/>
    <col min="11793" max="11793" width="6.625"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2.625" style="3" customWidth="1"/>
    <col min="12046" max="12046" width="0" style="3" hidden="1" customWidth="1"/>
    <col min="12047" max="12047" width="12.625" style="3" customWidth="1"/>
    <col min="12048" max="12048" width="4.125" style="3" customWidth="1"/>
    <col min="12049" max="12049" width="6.625"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2.625" style="3" customWidth="1"/>
    <col min="12302" max="12302" width="0" style="3" hidden="1" customWidth="1"/>
    <col min="12303" max="12303" width="12.625" style="3" customWidth="1"/>
    <col min="12304" max="12304" width="4.125" style="3" customWidth="1"/>
    <col min="12305" max="12305" width="6.625"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2.625" style="3" customWidth="1"/>
    <col min="12558" max="12558" width="0" style="3" hidden="1" customWidth="1"/>
    <col min="12559" max="12559" width="12.625" style="3" customWidth="1"/>
    <col min="12560" max="12560" width="4.125" style="3" customWidth="1"/>
    <col min="12561" max="12561" width="6.625"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2.625" style="3" customWidth="1"/>
    <col min="12814" max="12814" width="0" style="3" hidden="1" customWidth="1"/>
    <col min="12815" max="12815" width="12.625" style="3" customWidth="1"/>
    <col min="12816" max="12816" width="4.125" style="3" customWidth="1"/>
    <col min="12817" max="12817" width="6.625"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2.625" style="3" customWidth="1"/>
    <col min="13070" max="13070" width="0" style="3" hidden="1" customWidth="1"/>
    <col min="13071" max="13071" width="12.625" style="3" customWidth="1"/>
    <col min="13072" max="13072" width="4.125" style="3" customWidth="1"/>
    <col min="13073" max="13073" width="6.625"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2.625" style="3" customWidth="1"/>
    <col min="13326" max="13326" width="0" style="3" hidden="1" customWidth="1"/>
    <col min="13327" max="13327" width="12.625" style="3" customWidth="1"/>
    <col min="13328" max="13328" width="4.125" style="3" customWidth="1"/>
    <col min="13329" max="13329" width="6.625"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2.625" style="3" customWidth="1"/>
    <col min="13582" max="13582" width="0" style="3" hidden="1" customWidth="1"/>
    <col min="13583" max="13583" width="12.625" style="3" customWidth="1"/>
    <col min="13584" max="13584" width="4.125" style="3" customWidth="1"/>
    <col min="13585" max="13585" width="6.625"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2.625" style="3" customWidth="1"/>
    <col min="13838" max="13838" width="0" style="3" hidden="1" customWidth="1"/>
    <col min="13839" max="13839" width="12.625" style="3" customWidth="1"/>
    <col min="13840" max="13840" width="4.125" style="3" customWidth="1"/>
    <col min="13841" max="13841" width="6.625"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2.625" style="3" customWidth="1"/>
    <col min="14094" max="14094" width="0" style="3" hidden="1" customWidth="1"/>
    <col min="14095" max="14095" width="12.625" style="3" customWidth="1"/>
    <col min="14096" max="14096" width="4.125" style="3" customWidth="1"/>
    <col min="14097" max="14097" width="6.625"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2.625" style="3" customWidth="1"/>
    <col min="14350" max="14350" width="0" style="3" hidden="1" customWidth="1"/>
    <col min="14351" max="14351" width="12.625" style="3" customWidth="1"/>
    <col min="14352" max="14352" width="4.125" style="3" customWidth="1"/>
    <col min="14353" max="14353" width="6.625"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2.625" style="3" customWidth="1"/>
    <col min="14606" max="14606" width="0" style="3" hidden="1" customWidth="1"/>
    <col min="14607" max="14607" width="12.625" style="3" customWidth="1"/>
    <col min="14608" max="14608" width="4.125" style="3" customWidth="1"/>
    <col min="14609" max="14609" width="6.625"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2.625" style="3" customWidth="1"/>
    <col min="14862" max="14862" width="0" style="3" hidden="1" customWidth="1"/>
    <col min="14863" max="14863" width="12.625" style="3" customWidth="1"/>
    <col min="14864" max="14864" width="4.125" style="3" customWidth="1"/>
    <col min="14865" max="14865" width="6.625"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2.625" style="3" customWidth="1"/>
    <col min="15118" max="15118" width="0" style="3" hidden="1" customWidth="1"/>
    <col min="15119" max="15119" width="12.625" style="3" customWidth="1"/>
    <col min="15120" max="15120" width="4.125" style="3" customWidth="1"/>
    <col min="15121" max="15121" width="6.625"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2.625" style="3" customWidth="1"/>
    <col min="15374" max="15374" width="0" style="3" hidden="1" customWidth="1"/>
    <col min="15375" max="15375" width="12.625" style="3" customWidth="1"/>
    <col min="15376" max="15376" width="4.125" style="3" customWidth="1"/>
    <col min="15377" max="15377" width="6.625"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2.625" style="3" customWidth="1"/>
    <col min="15630" max="15630" width="0" style="3" hidden="1" customWidth="1"/>
    <col min="15631" max="15631" width="12.625" style="3" customWidth="1"/>
    <col min="15632" max="15632" width="4.125" style="3" customWidth="1"/>
    <col min="15633" max="15633" width="6.625"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2.625" style="3" customWidth="1"/>
    <col min="15886" max="15886" width="0" style="3" hidden="1" customWidth="1"/>
    <col min="15887" max="15887" width="12.625" style="3" customWidth="1"/>
    <col min="15888" max="15888" width="4.125" style="3" customWidth="1"/>
    <col min="15889" max="15889" width="6.625"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2.625" style="3" customWidth="1"/>
    <col min="16142" max="16142" width="0" style="3" hidden="1" customWidth="1"/>
    <col min="16143" max="16143" width="12.625" style="3" customWidth="1"/>
    <col min="16144" max="16144" width="4.125" style="3" customWidth="1"/>
    <col min="16145" max="16145" width="6.625" style="3" bestFit="1" customWidth="1"/>
    <col min="16146" max="16384" width="9" style="3"/>
  </cols>
  <sheetData>
    <row r="1" spans="1:17" ht="13.5" customHeight="1" x14ac:dyDescent="0.15">
      <c r="A1" s="481" t="s">
        <v>71</v>
      </c>
      <c r="B1" s="481"/>
      <c r="C1" s="481"/>
      <c r="D1" s="481"/>
      <c r="E1" s="481"/>
      <c r="F1" s="481"/>
      <c r="G1" s="481"/>
      <c r="H1" s="481"/>
      <c r="I1" s="481"/>
      <c r="J1" s="481"/>
      <c r="K1" s="481"/>
      <c r="L1" s="481"/>
      <c r="M1" s="481"/>
      <c r="N1" s="481"/>
      <c r="O1" s="481"/>
      <c r="P1" s="481"/>
      <c r="Q1" s="129"/>
    </row>
    <row r="2" spans="1:17" ht="13.5" customHeight="1" x14ac:dyDescent="0.15">
      <c r="B2" s="130"/>
      <c r="D2" s="130"/>
      <c r="E2" s="130"/>
      <c r="F2" s="130"/>
      <c r="G2" s="130"/>
      <c r="H2" s="130"/>
      <c r="M2" s="16"/>
      <c r="N2" s="16"/>
      <c r="O2" s="16"/>
      <c r="P2" s="16"/>
      <c r="Q2" s="16"/>
    </row>
    <row r="3" spans="1:17" ht="13.5" customHeight="1" x14ac:dyDescent="0.15">
      <c r="B3" s="130"/>
      <c r="D3" s="130"/>
      <c r="E3" s="130"/>
      <c r="F3" s="130"/>
      <c r="G3" s="130"/>
      <c r="H3" s="130"/>
      <c r="J3" s="16"/>
      <c r="K3" s="16"/>
      <c r="L3" s="16"/>
      <c r="M3" s="16"/>
      <c r="N3" s="16"/>
      <c r="O3" s="16"/>
      <c r="P3" s="16"/>
      <c r="Q3" s="16"/>
    </row>
    <row r="4" spans="1:17" ht="13.5" customHeight="1" x14ac:dyDescent="0.15">
      <c r="B4" s="130"/>
      <c r="D4" s="130"/>
      <c r="E4" s="130"/>
      <c r="F4" s="130"/>
      <c r="G4" s="130"/>
      <c r="H4" s="130"/>
      <c r="N4" s="131"/>
      <c r="O4" s="131"/>
      <c r="P4" s="131"/>
      <c r="Q4" s="131"/>
    </row>
    <row r="5" spans="1:17" ht="13.5" customHeight="1" x14ac:dyDescent="0.15">
      <c r="C5" s="130"/>
      <c r="D5" s="130"/>
      <c r="E5" s="130"/>
      <c r="F5" s="130"/>
      <c r="G5" s="130"/>
      <c r="H5" s="130"/>
      <c r="M5" s="16"/>
      <c r="N5" s="16"/>
      <c r="O5" s="16"/>
      <c r="P5" s="16"/>
      <c r="Q5" s="16"/>
    </row>
    <row r="6" spans="1:17" ht="13.5" customHeight="1" x14ac:dyDescent="0.15">
      <c r="C6" s="130"/>
      <c r="D6" s="130"/>
      <c r="E6" s="130"/>
      <c r="F6" s="130"/>
      <c r="G6" s="130"/>
      <c r="H6" s="130"/>
      <c r="M6" s="16"/>
      <c r="N6" s="16"/>
      <c r="O6" s="16"/>
      <c r="P6" s="16"/>
      <c r="Q6" s="16"/>
    </row>
    <row r="7" spans="1:17" ht="18.75" customHeight="1" x14ac:dyDescent="0.15">
      <c r="B7" s="370"/>
      <c r="C7" s="370"/>
      <c r="D7" s="370"/>
      <c r="E7" s="132" t="s">
        <v>72</v>
      </c>
      <c r="F7" s="7"/>
      <c r="G7" s="7"/>
    </row>
    <row r="8" spans="1:17" x14ac:dyDescent="0.15">
      <c r="C8" s="9"/>
      <c r="E8" s="9"/>
      <c r="F8" s="9"/>
      <c r="G8" s="9"/>
      <c r="H8" s="9"/>
    </row>
    <row r="9" spans="1:17" ht="17.25" x14ac:dyDescent="0.15">
      <c r="D9" s="9"/>
      <c r="E9" s="9"/>
      <c r="F9" s="9"/>
      <c r="G9" s="9"/>
      <c r="H9" s="133" t="s">
        <v>106</v>
      </c>
    </row>
    <row r="10" spans="1:17" ht="14.25" customHeight="1" x14ac:dyDescent="0.15">
      <c r="D10" s="9"/>
      <c r="E10" s="9"/>
      <c r="F10" s="9"/>
      <c r="G10" s="9"/>
      <c r="H10" s="9"/>
      <c r="J10" s="133"/>
    </row>
    <row r="11" spans="1:17" ht="14.25" customHeight="1" x14ac:dyDescent="0.15">
      <c r="D11" s="9"/>
      <c r="E11" s="9"/>
      <c r="F11" s="9"/>
      <c r="G11" s="9"/>
      <c r="H11" s="9"/>
      <c r="J11" s="133"/>
      <c r="M11" s="134" t="s">
        <v>74</v>
      </c>
      <c r="N11" s="482"/>
      <c r="O11" s="482"/>
      <c r="P11" s="482"/>
    </row>
    <row r="12" spans="1:17" ht="14.25" customHeight="1" x14ac:dyDescent="0.15">
      <c r="D12" s="9"/>
      <c r="E12" s="9"/>
      <c r="F12" s="9"/>
      <c r="G12" s="9"/>
      <c r="H12" s="9"/>
      <c r="J12" s="133"/>
      <c r="N12" s="483"/>
      <c r="O12" s="483"/>
      <c r="P12" s="483"/>
      <c r="Q12" s="135" t="s">
        <v>75</v>
      </c>
    </row>
    <row r="13" spans="1:17" s="136" customFormat="1" ht="10.5" x14ac:dyDescent="0.15">
      <c r="B13" s="137" t="s">
        <v>76</v>
      </c>
      <c r="C13" s="137"/>
      <c r="D13" s="137"/>
      <c r="E13" s="137"/>
      <c r="F13" s="137"/>
      <c r="G13" s="137"/>
      <c r="H13" s="137"/>
      <c r="I13" s="137"/>
      <c r="J13" s="137"/>
      <c r="K13" s="137"/>
      <c r="L13" s="137"/>
      <c r="M13" s="137"/>
      <c r="N13" s="137"/>
      <c r="O13" s="137"/>
      <c r="P13" s="137"/>
      <c r="Q13" s="137"/>
    </row>
    <row r="14" spans="1:17" s="136" customFormat="1" ht="10.5" x14ac:dyDescent="0.15">
      <c r="B14" s="137" t="s">
        <v>77</v>
      </c>
      <c r="C14" s="137"/>
      <c r="D14" s="137"/>
      <c r="E14" s="137"/>
      <c r="F14" s="137"/>
      <c r="G14" s="137"/>
      <c r="H14" s="137"/>
      <c r="I14" s="137"/>
      <c r="J14" s="137"/>
      <c r="K14" s="137"/>
      <c r="L14" s="137"/>
      <c r="M14" s="137"/>
      <c r="N14" s="137"/>
      <c r="O14" s="137"/>
      <c r="P14" s="137"/>
      <c r="Q14" s="137"/>
    </row>
    <row r="15" spans="1:17" s="136" customFormat="1" ht="10.5" x14ac:dyDescent="0.15">
      <c r="B15" s="137" t="s">
        <v>78</v>
      </c>
      <c r="C15" s="137"/>
      <c r="D15" s="137"/>
      <c r="E15" s="137"/>
      <c r="F15" s="137"/>
      <c r="G15" s="137"/>
      <c r="H15" s="137"/>
      <c r="I15" s="137"/>
      <c r="J15" s="137"/>
      <c r="K15" s="137"/>
      <c r="L15" s="137"/>
      <c r="M15" s="137"/>
      <c r="N15" s="137"/>
      <c r="O15" s="137"/>
      <c r="P15" s="137"/>
      <c r="Q15" s="137"/>
    </row>
    <row r="16" spans="1:17" s="136" customFormat="1" ht="10.5" x14ac:dyDescent="0.15">
      <c r="B16" s="137" t="s">
        <v>79</v>
      </c>
      <c r="C16" s="137"/>
      <c r="D16" s="137"/>
      <c r="E16" s="137"/>
      <c r="F16" s="137"/>
      <c r="G16" s="137"/>
      <c r="H16" s="137"/>
      <c r="I16" s="137"/>
      <c r="J16" s="137"/>
      <c r="K16" s="137"/>
      <c r="L16" s="137"/>
      <c r="M16" s="137"/>
      <c r="N16" s="137"/>
      <c r="O16" s="137"/>
      <c r="P16" s="137"/>
      <c r="Q16" s="137"/>
    </row>
    <row r="17" spans="1:17" s="136" customFormat="1" ht="10.5" x14ac:dyDescent="0.15">
      <c r="B17" s="137"/>
      <c r="C17" s="137"/>
      <c r="D17" s="137"/>
      <c r="E17" s="137"/>
      <c r="F17" s="137"/>
      <c r="G17" s="137"/>
      <c r="H17" s="137"/>
      <c r="I17" s="137"/>
      <c r="J17" s="137"/>
      <c r="K17" s="137"/>
      <c r="L17" s="137"/>
      <c r="M17" s="137"/>
      <c r="N17" s="137"/>
      <c r="O17" s="137"/>
      <c r="P17" s="137"/>
      <c r="Q17" s="137"/>
    </row>
    <row r="18" spans="1:17" ht="9.9499999999999993" customHeight="1" x14ac:dyDescent="0.15">
      <c r="B18" s="138"/>
      <c r="C18" s="138"/>
      <c r="D18" s="138"/>
      <c r="E18" s="138"/>
      <c r="F18" s="138"/>
      <c r="G18" s="138"/>
      <c r="H18" s="138"/>
      <c r="I18" s="138"/>
      <c r="J18" s="138"/>
      <c r="K18" s="138"/>
      <c r="L18" s="138"/>
      <c r="M18" s="138"/>
      <c r="N18" s="138"/>
      <c r="O18" s="138"/>
      <c r="P18" s="138"/>
      <c r="Q18" s="138"/>
    </row>
    <row r="19" spans="1:17" s="139" customFormat="1" ht="13.5" customHeight="1" x14ac:dyDescent="0.15">
      <c r="B19" s="140"/>
      <c r="C19" s="140"/>
      <c r="D19" s="140"/>
      <c r="F19" s="134"/>
      <c r="H19" s="134"/>
      <c r="I19" s="134"/>
      <c r="J19" s="141"/>
      <c r="K19" s="141"/>
      <c r="L19" s="141"/>
      <c r="M19" s="141"/>
      <c r="N19" s="141"/>
      <c r="O19" s="140"/>
      <c r="P19" s="140"/>
      <c r="Q19" s="140"/>
    </row>
    <row r="20" spans="1:17" x14ac:dyDescent="0.15">
      <c r="A20" s="136"/>
      <c r="B20" s="484" t="s">
        <v>80</v>
      </c>
      <c r="C20" s="484"/>
      <c r="D20" s="484"/>
      <c r="E20" s="485"/>
      <c r="F20" s="485"/>
      <c r="G20" s="144"/>
      <c r="H20" s="144"/>
      <c r="I20" s="144"/>
      <c r="J20" s="143"/>
      <c r="K20" s="143"/>
      <c r="L20" s="143"/>
      <c r="M20" s="143"/>
      <c r="N20" s="143"/>
      <c r="O20" s="136"/>
      <c r="P20" s="136"/>
      <c r="Q20" s="143"/>
    </row>
    <row r="21" spans="1:17" s="140" customFormat="1" ht="13.5" customHeight="1" x14ac:dyDescent="0.15">
      <c r="A21" s="143"/>
      <c r="B21" s="472" t="s">
        <v>81</v>
      </c>
      <c r="C21" s="472"/>
      <c r="D21" s="472"/>
      <c r="E21" s="472" t="s">
        <v>82</v>
      </c>
      <c r="F21" s="472"/>
      <c r="G21" s="472"/>
      <c r="H21" s="472"/>
      <c r="I21" s="472"/>
      <c r="J21" s="472" t="s">
        <v>83</v>
      </c>
      <c r="K21" s="479" t="s">
        <v>84</v>
      </c>
      <c r="L21" s="479"/>
      <c r="M21" s="148"/>
      <c r="N21" s="143"/>
      <c r="O21" s="143"/>
      <c r="P21" s="143"/>
      <c r="Q21" s="143"/>
    </row>
    <row r="22" spans="1:17" s="140" customFormat="1" ht="13.5" customHeight="1" x14ac:dyDescent="0.15">
      <c r="A22" s="143"/>
      <c r="B22" s="145" t="s">
        <v>85</v>
      </c>
      <c r="C22" s="145" t="s">
        <v>86</v>
      </c>
      <c r="D22" s="145" t="s">
        <v>87</v>
      </c>
      <c r="E22" s="472" t="s">
        <v>59</v>
      </c>
      <c r="F22" s="472"/>
      <c r="G22" s="145" t="s">
        <v>60</v>
      </c>
      <c r="H22" s="472" t="s">
        <v>88</v>
      </c>
      <c r="I22" s="472"/>
      <c r="J22" s="472"/>
      <c r="K22" s="480" t="s">
        <v>89</v>
      </c>
      <c r="L22" s="480"/>
      <c r="M22" s="148"/>
      <c r="N22" s="143"/>
      <c r="O22" s="143"/>
      <c r="P22" s="143"/>
      <c r="Q22" s="143"/>
    </row>
    <row r="23" spans="1:17" s="140" customFormat="1" ht="13.5" customHeight="1" x14ac:dyDescent="0.15">
      <c r="A23" s="143"/>
      <c r="B23" s="150"/>
      <c r="C23" s="150"/>
      <c r="D23" s="150">
        <f>SUM(B23:C23)</f>
        <v>0</v>
      </c>
      <c r="E23" s="466"/>
      <c r="F23" s="466"/>
      <c r="G23" s="150"/>
      <c r="H23" s="467">
        <f>SUM(G23+E23)</f>
        <v>0</v>
      </c>
      <c r="I23" s="467"/>
      <c r="J23" s="150"/>
      <c r="K23" s="468">
        <f>SUM(H23-D23+J23)</f>
        <v>0</v>
      </c>
      <c r="L23" s="469"/>
      <c r="M23" s="151"/>
      <c r="N23" s="152"/>
      <c r="O23" s="153"/>
      <c r="P23" s="143"/>
      <c r="Q23" s="143"/>
    </row>
    <row r="24" spans="1:17" ht="9.9499999999999993" customHeight="1" x14ac:dyDescent="0.15">
      <c r="A24" s="136"/>
      <c r="B24" s="136"/>
      <c r="C24" s="136"/>
      <c r="D24" s="136"/>
      <c r="E24" s="136"/>
      <c r="F24" s="136"/>
      <c r="G24" s="136"/>
      <c r="H24" s="136"/>
      <c r="I24" s="136"/>
      <c r="J24" s="136"/>
      <c r="K24" s="136"/>
      <c r="L24" s="136"/>
      <c r="M24" s="136"/>
      <c r="N24" s="136"/>
      <c r="O24" s="136"/>
      <c r="P24" s="136"/>
      <c r="Q24" s="136"/>
    </row>
    <row r="25" spans="1:17" x14ac:dyDescent="0.15">
      <c r="A25" s="136"/>
      <c r="B25" s="470" t="s">
        <v>90</v>
      </c>
      <c r="C25" s="470"/>
      <c r="D25" s="470"/>
      <c r="E25" s="471"/>
      <c r="F25" s="471"/>
      <c r="G25" s="471"/>
      <c r="H25" s="471"/>
      <c r="I25" s="471"/>
      <c r="J25" s="136"/>
      <c r="K25" s="136"/>
      <c r="L25" s="136"/>
      <c r="M25" s="136"/>
      <c r="N25" s="136"/>
      <c r="O25" s="136"/>
      <c r="P25" s="136"/>
      <c r="Q25" s="136"/>
    </row>
    <row r="26" spans="1:17" ht="13.5" customHeight="1" x14ac:dyDescent="0.15">
      <c r="A26" s="472" t="s">
        <v>91</v>
      </c>
      <c r="B26" s="476" t="s">
        <v>92</v>
      </c>
      <c r="C26" s="473"/>
      <c r="D26" s="476" t="s">
        <v>93</v>
      </c>
      <c r="E26" s="477" t="s">
        <v>94</v>
      </c>
      <c r="F26" s="478"/>
      <c r="G26" s="472" t="s">
        <v>95</v>
      </c>
      <c r="H26" s="476" t="s">
        <v>96</v>
      </c>
      <c r="I26" s="473"/>
      <c r="J26" s="479" t="s">
        <v>97</v>
      </c>
      <c r="K26" s="479" t="s">
        <v>98</v>
      </c>
      <c r="L26" s="479" t="s">
        <v>99</v>
      </c>
      <c r="M26" s="479" t="s">
        <v>100</v>
      </c>
      <c r="N26" s="472" t="s">
        <v>101</v>
      </c>
      <c r="O26" s="476" t="s">
        <v>102</v>
      </c>
      <c r="P26" s="473"/>
      <c r="Q26" s="136"/>
    </row>
    <row r="27" spans="1:17" x14ac:dyDescent="0.15">
      <c r="A27" s="472"/>
      <c r="B27" s="474"/>
      <c r="C27" s="475"/>
      <c r="D27" s="474"/>
      <c r="E27" s="145" t="s">
        <v>19</v>
      </c>
      <c r="F27" s="145" t="s">
        <v>20</v>
      </c>
      <c r="G27" s="472"/>
      <c r="H27" s="474"/>
      <c r="I27" s="475"/>
      <c r="J27" s="480"/>
      <c r="K27" s="480"/>
      <c r="L27" s="480"/>
      <c r="M27" s="480"/>
      <c r="N27" s="472"/>
      <c r="O27" s="474"/>
      <c r="P27" s="475"/>
      <c r="Q27" s="136"/>
    </row>
    <row r="28" spans="1:17" ht="27" customHeight="1" x14ac:dyDescent="0.15">
      <c r="A28" s="157"/>
      <c r="B28" s="457"/>
      <c r="C28" s="458"/>
      <c r="D28" s="158"/>
      <c r="E28" s="159"/>
      <c r="F28" s="147"/>
      <c r="G28" s="160"/>
      <c r="H28" s="459"/>
      <c r="I28" s="460"/>
      <c r="J28" s="161"/>
      <c r="K28" s="162"/>
      <c r="L28" s="163"/>
      <c r="M28" s="163"/>
      <c r="N28" s="163"/>
      <c r="O28" s="461"/>
      <c r="P28" s="462"/>
      <c r="Q28" s="136"/>
    </row>
    <row r="29" spans="1:17" ht="27" customHeight="1" x14ac:dyDescent="0.15">
      <c r="A29" s="164"/>
      <c r="B29" s="436"/>
      <c r="C29" s="437"/>
      <c r="D29" s="165"/>
      <c r="E29" s="166"/>
      <c r="F29" s="166"/>
      <c r="G29" s="167"/>
      <c r="H29" s="438"/>
      <c r="I29" s="439"/>
      <c r="J29" s="168"/>
      <c r="K29" s="169"/>
      <c r="L29" s="170"/>
      <c r="M29" s="170"/>
      <c r="N29" s="170"/>
      <c r="O29" s="440"/>
      <c r="P29" s="441"/>
      <c r="Q29" s="136"/>
    </row>
    <row r="30" spans="1:17" ht="27" customHeight="1" x14ac:dyDescent="0.15">
      <c r="A30" s="164"/>
      <c r="B30" s="436"/>
      <c r="C30" s="437"/>
      <c r="D30" s="165"/>
      <c r="E30" s="166"/>
      <c r="F30" s="166"/>
      <c r="G30" s="167"/>
      <c r="H30" s="438"/>
      <c r="I30" s="439"/>
      <c r="J30" s="168"/>
      <c r="K30" s="169"/>
      <c r="L30" s="170"/>
      <c r="M30" s="170"/>
      <c r="N30" s="170"/>
      <c r="O30" s="440"/>
      <c r="P30" s="441"/>
      <c r="Q30" s="136"/>
    </row>
    <row r="31" spans="1:17" ht="27" customHeight="1" x14ac:dyDescent="0.15">
      <c r="A31" s="164"/>
      <c r="B31" s="436"/>
      <c r="C31" s="437"/>
      <c r="D31" s="165"/>
      <c r="E31" s="166"/>
      <c r="F31" s="166"/>
      <c r="G31" s="171"/>
      <c r="H31" s="451"/>
      <c r="I31" s="452"/>
      <c r="J31" s="168"/>
      <c r="K31" s="169"/>
      <c r="L31" s="170"/>
      <c r="M31" s="170"/>
      <c r="N31" s="170"/>
      <c r="O31" s="440"/>
      <c r="P31" s="441"/>
      <c r="Q31" s="136"/>
    </row>
    <row r="32" spans="1:17" ht="27" customHeight="1" x14ac:dyDescent="0.15">
      <c r="A32" s="164"/>
      <c r="B32" s="436"/>
      <c r="C32" s="437"/>
      <c r="D32" s="165"/>
      <c r="E32" s="166"/>
      <c r="F32" s="166"/>
      <c r="G32" s="167"/>
      <c r="H32" s="438"/>
      <c r="I32" s="439"/>
      <c r="J32" s="168"/>
      <c r="K32" s="169"/>
      <c r="L32" s="170"/>
      <c r="M32" s="170"/>
      <c r="N32" s="170"/>
      <c r="O32" s="440"/>
      <c r="P32" s="441"/>
      <c r="Q32" s="136"/>
    </row>
    <row r="33" spans="1:17" ht="27" customHeight="1" x14ac:dyDescent="0.15">
      <c r="A33" s="164"/>
      <c r="B33" s="436"/>
      <c r="C33" s="437"/>
      <c r="D33" s="165"/>
      <c r="E33" s="172"/>
      <c r="F33" s="166"/>
      <c r="G33" s="167"/>
      <c r="H33" s="438"/>
      <c r="I33" s="439"/>
      <c r="J33" s="168"/>
      <c r="K33" s="169"/>
      <c r="L33" s="170"/>
      <c r="M33" s="170"/>
      <c r="N33" s="170"/>
      <c r="O33" s="440"/>
      <c r="P33" s="441"/>
      <c r="Q33" s="136"/>
    </row>
    <row r="34" spans="1:17" ht="27" customHeight="1" x14ac:dyDescent="0.15">
      <c r="A34" s="173"/>
      <c r="B34" s="442"/>
      <c r="C34" s="443"/>
      <c r="D34" s="174"/>
      <c r="E34" s="175"/>
      <c r="F34" s="175"/>
      <c r="G34" s="176"/>
      <c r="H34" s="444"/>
      <c r="I34" s="445"/>
      <c r="J34" s="177"/>
      <c r="K34" s="178"/>
      <c r="L34" s="179"/>
      <c r="M34" s="179"/>
      <c r="N34" s="179"/>
      <c r="O34" s="446"/>
      <c r="P34" s="447"/>
      <c r="Q34" s="136"/>
    </row>
    <row r="35" spans="1:17" x14ac:dyDescent="0.15">
      <c r="A35" s="448" t="s">
        <v>103</v>
      </c>
      <c r="B35" s="449"/>
      <c r="C35" s="449"/>
      <c r="D35" s="450"/>
      <c r="E35" s="180">
        <f>SUM(E28:E34)</f>
        <v>0</v>
      </c>
      <c r="F35" s="180">
        <f>SUM(F28:F34)</f>
        <v>0</v>
      </c>
      <c r="H35" s="143"/>
      <c r="I35" s="136"/>
      <c r="J35" s="181"/>
      <c r="K35" s="182"/>
      <c r="L35" s="183">
        <f>SUM(L28:L34)</f>
        <v>0</v>
      </c>
      <c r="M35" s="183">
        <f>SUM(M28:M34)</f>
        <v>0</v>
      </c>
      <c r="N35" s="183">
        <f>SUM(N28:N34)</f>
        <v>0</v>
      </c>
      <c r="O35" s="446">
        <f>SUM(L35-M35-N35)</f>
        <v>0</v>
      </c>
      <c r="P35" s="447"/>
      <c r="Q35" s="136"/>
    </row>
    <row r="36" spans="1:17" ht="5.0999999999999996" customHeight="1" x14ac:dyDescent="0.15">
      <c r="A36" s="136"/>
      <c r="B36" s="136"/>
      <c r="C36" s="136"/>
      <c r="D36" s="136"/>
      <c r="E36" s="136"/>
      <c r="F36" s="136"/>
      <c r="G36" s="136"/>
      <c r="H36" s="136"/>
      <c r="I36" s="136"/>
      <c r="J36" s="136"/>
      <c r="K36" s="136"/>
      <c r="L36" s="136"/>
      <c r="M36" s="136"/>
      <c r="N36" s="136"/>
      <c r="O36" s="136"/>
      <c r="P36" s="136"/>
      <c r="Q36" s="136"/>
    </row>
    <row r="37" spans="1:17" s="136" customFormat="1" ht="10.5" x14ac:dyDescent="0.15">
      <c r="H37" s="435"/>
      <c r="I37" s="435"/>
      <c r="J37" s="435"/>
      <c r="K37" s="435"/>
      <c r="L37" s="435"/>
      <c r="M37" s="435"/>
      <c r="N37" s="435"/>
      <c r="O37" s="435"/>
      <c r="P37" s="435"/>
    </row>
    <row r="38" spans="1:17" s="136" customFormat="1" ht="5.0999999999999996" customHeight="1" x14ac:dyDescent="0.15"/>
    <row r="39" spans="1:17" s="136" customFormat="1" ht="10.5" x14ac:dyDescent="0.15"/>
    <row r="40" spans="1:17" s="136" customFormat="1" ht="10.5" x14ac:dyDescent="0.15"/>
    <row r="41" spans="1:17" x14ac:dyDescent="0.15">
      <c r="A41" s="136"/>
      <c r="B41" s="136"/>
      <c r="C41" s="136"/>
      <c r="D41" s="136"/>
      <c r="E41" s="136"/>
      <c r="F41" s="136"/>
      <c r="G41" s="136"/>
      <c r="H41" s="136"/>
      <c r="I41" s="136"/>
      <c r="J41" s="136"/>
      <c r="K41" s="136"/>
      <c r="L41" s="136"/>
      <c r="M41" s="136"/>
      <c r="N41" s="136"/>
      <c r="O41" s="136"/>
      <c r="P41" s="136"/>
    </row>
    <row r="42" spans="1:17" x14ac:dyDescent="0.15">
      <c r="A42" s="136"/>
      <c r="B42" s="136"/>
      <c r="C42" s="136"/>
      <c r="D42" s="136"/>
      <c r="E42" s="136"/>
      <c r="F42" s="136"/>
      <c r="G42" s="136"/>
      <c r="H42" s="136"/>
      <c r="I42" s="136"/>
      <c r="J42" s="136"/>
      <c r="K42" s="136"/>
      <c r="L42" s="136"/>
      <c r="M42" s="136"/>
      <c r="N42" s="136"/>
      <c r="O42" s="136"/>
      <c r="P42" s="136"/>
    </row>
    <row r="43" spans="1:17" x14ac:dyDescent="0.15">
      <c r="A43" s="136"/>
      <c r="B43" s="136"/>
      <c r="C43" s="136"/>
      <c r="D43" s="136"/>
      <c r="E43" s="136"/>
      <c r="F43" s="136"/>
      <c r="G43" s="136"/>
      <c r="H43" s="136"/>
      <c r="I43" s="136"/>
      <c r="J43" s="136"/>
      <c r="K43" s="136"/>
      <c r="L43" s="136"/>
      <c r="M43" s="136"/>
      <c r="N43" s="136"/>
      <c r="O43" s="136"/>
      <c r="P43" s="136"/>
    </row>
    <row r="44" spans="1:17" x14ac:dyDescent="0.15">
      <c r="A44" s="136"/>
      <c r="B44" s="136"/>
      <c r="C44" s="136"/>
      <c r="D44" s="136"/>
      <c r="E44" s="136"/>
      <c r="F44" s="136"/>
      <c r="G44" s="136"/>
      <c r="H44" s="136"/>
      <c r="I44" s="136"/>
      <c r="J44" s="136"/>
      <c r="K44" s="136"/>
      <c r="L44" s="136"/>
      <c r="M44" s="136"/>
      <c r="N44" s="136"/>
      <c r="O44" s="136"/>
      <c r="P44" s="136"/>
    </row>
    <row r="45" spans="1:17" x14ac:dyDescent="0.15">
      <c r="A45" s="136"/>
      <c r="B45" s="16"/>
      <c r="C45" s="136"/>
      <c r="D45" s="136"/>
      <c r="E45" s="136"/>
      <c r="F45" s="136"/>
      <c r="G45" s="136"/>
      <c r="H45" s="136"/>
      <c r="I45" s="136"/>
      <c r="J45" s="136"/>
      <c r="K45" s="136"/>
      <c r="L45" s="136"/>
      <c r="M45" s="136"/>
      <c r="N45" s="136"/>
      <c r="O45" s="136"/>
      <c r="P45" s="136"/>
    </row>
    <row r="46" spans="1:17" x14ac:dyDescent="0.15">
      <c r="A46" s="136"/>
      <c r="B46" s="16"/>
      <c r="C46" s="136"/>
      <c r="D46" s="136"/>
      <c r="E46" s="136"/>
      <c r="F46" s="136"/>
      <c r="G46" s="136"/>
      <c r="H46" s="136"/>
      <c r="I46" s="136"/>
      <c r="J46" s="136"/>
      <c r="K46" s="136"/>
      <c r="L46" s="136"/>
      <c r="M46" s="136"/>
      <c r="N46" s="136"/>
      <c r="O46" s="136"/>
      <c r="P46" s="136"/>
    </row>
    <row r="47" spans="1:17" x14ac:dyDescent="0.15">
      <c r="A47" s="136"/>
      <c r="B47" s="16"/>
      <c r="C47" s="136"/>
      <c r="D47" s="136"/>
      <c r="E47" s="136"/>
      <c r="F47" s="136"/>
      <c r="G47" s="136"/>
      <c r="H47" s="136"/>
      <c r="I47" s="136"/>
      <c r="J47" s="136"/>
      <c r="K47" s="136"/>
      <c r="L47" s="136"/>
      <c r="M47" s="136"/>
      <c r="N47" s="136"/>
      <c r="O47" s="136"/>
      <c r="P47" s="136"/>
    </row>
    <row r="48" spans="1:17" x14ac:dyDescent="0.15">
      <c r="B48" s="185"/>
      <c r="C48" s="185"/>
      <c r="D48" s="185"/>
      <c r="E48" s="185"/>
      <c r="F48" s="185"/>
      <c r="G48" s="185"/>
      <c r="H48" s="185"/>
      <c r="I48" s="185"/>
      <c r="J48" s="185"/>
      <c r="K48" s="185"/>
      <c r="L48" s="185"/>
      <c r="M48" s="185"/>
      <c r="N48" s="185"/>
      <c r="O48" s="185"/>
    </row>
    <row r="49" spans="2:15" x14ac:dyDescent="0.15">
      <c r="B49" s="185"/>
      <c r="C49" s="185"/>
      <c r="D49" s="185"/>
      <c r="E49" s="185"/>
      <c r="F49" s="185"/>
      <c r="G49" s="185"/>
      <c r="H49" s="185"/>
      <c r="I49" s="185"/>
      <c r="J49" s="185"/>
      <c r="K49" s="185"/>
      <c r="L49" s="185"/>
      <c r="M49" s="185"/>
      <c r="N49" s="185"/>
      <c r="O49" s="185"/>
    </row>
    <row r="50" spans="2:15" x14ac:dyDescent="0.15">
      <c r="B50" s="185"/>
      <c r="C50" s="185"/>
      <c r="D50" s="185"/>
      <c r="E50" s="185"/>
      <c r="F50" s="185"/>
      <c r="G50" s="185"/>
      <c r="H50" s="185"/>
      <c r="I50" s="185"/>
      <c r="J50" s="185"/>
      <c r="K50" s="185"/>
      <c r="L50" s="185"/>
      <c r="M50" s="185"/>
      <c r="N50" s="185"/>
      <c r="O50" s="185"/>
    </row>
    <row r="51" spans="2:15" x14ac:dyDescent="0.15">
      <c r="B51" s="185"/>
      <c r="C51" s="185"/>
      <c r="D51" s="185"/>
      <c r="E51" s="185"/>
      <c r="F51" s="185"/>
      <c r="G51" s="185"/>
      <c r="H51" s="185"/>
      <c r="I51" s="185"/>
      <c r="J51" s="185"/>
      <c r="K51" s="185"/>
      <c r="L51" s="185"/>
      <c r="M51" s="185"/>
      <c r="N51" s="185"/>
      <c r="O51" s="185"/>
    </row>
    <row r="52" spans="2:15" x14ac:dyDescent="0.15">
      <c r="B52" s="185"/>
      <c r="C52" s="185"/>
      <c r="D52" s="185"/>
      <c r="E52" s="185"/>
      <c r="F52" s="185"/>
      <c r="G52" s="185"/>
      <c r="H52" s="185"/>
      <c r="I52" s="185"/>
      <c r="J52" s="185"/>
      <c r="K52" s="185"/>
      <c r="L52" s="185"/>
      <c r="M52" s="185"/>
      <c r="N52" s="185"/>
      <c r="O52" s="185"/>
    </row>
  </sheetData>
  <mergeCells count="54">
    <mergeCell ref="A1:P1"/>
    <mergeCell ref="B7:D7"/>
    <mergeCell ref="N11:P11"/>
    <mergeCell ref="N12:P12"/>
    <mergeCell ref="B20:D20"/>
    <mergeCell ref="E20:F20"/>
    <mergeCell ref="B21:D21"/>
    <mergeCell ref="E21:I21"/>
    <mergeCell ref="J21:J22"/>
    <mergeCell ref="K21:L21"/>
    <mergeCell ref="E22:F22"/>
    <mergeCell ref="H22:I22"/>
    <mergeCell ref="K22:L22"/>
    <mergeCell ref="A26:A27"/>
    <mergeCell ref="B26:C27"/>
    <mergeCell ref="D26:D27"/>
    <mergeCell ref="E26:F26"/>
    <mergeCell ref="G26:G27"/>
    <mergeCell ref="E23:F23"/>
    <mergeCell ref="H23:I23"/>
    <mergeCell ref="K23:L23"/>
    <mergeCell ref="B25:D25"/>
    <mergeCell ref="E25:I25"/>
    <mergeCell ref="O26:P27"/>
    <mergeCell ref="B28:C28"/>
    <mergeCell ref="H28:I28"/>
    <mergeCell ref="O28:P28"/>
    <mergeCell ref="B29:C29"/>
    <mergeCell ref="H29:I29"/>
    <mergeCell ref="O29:P29"/>
    <mergeCell ref="H26:I27"/>
    <mergeCell ref="J26:J27"/>
    <mergeCell ref="K26:K27"/>
    <mergeCell ref="L26:L27"/>
    <mergeCell ref="M26:M27"/>
    <mergeCell ref="N26:N27"/>
    <mergeCell ref="B30:C30"/>
    <mergeCell ref="H30:I30"/>
    <mergeCell ref="O30:P30"/>
    <mergeCell ref="B31:C31"/>
    <mergeCell ref="H31:I31"/>
    <mergeCell ref="O31:P31"/>
    <mergeCell ref="H37:P37"/>
    <mergeCell ref="B32:C32"/>
    <mergeCell ref="H32:I32"/>
    <mergeCell ref="O32:P32"/>
    <mergeCell ref="B33:C33"/>
    <mergeCell ref="H33:I33"/>
    <mergeCell ref="O33:P33"/>
    <mergeCell ref="B34:C34"/>
    <mergeCell ref="H34:I34"/>
    <mergeCell ref="O34:P34"/>
    <mergeCell ref="A35:D35"/>
    <mergeCell ref="O35:P35"/>
  </mergeCells>
  <phoneticPr fontId="3"/>
  <pageMargins left="0.78740157480314965" right="0.39370078740157483" top="0.39370078740157483" bottom="0.19685039370078741" header="0.51181102362204722" footer="0.19685039370078741"/>
  <pageSetup paperSize="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F4B2B-7E25-4573-BFE8-3764CDA1EE04}">
  <sheetPr codeName="Sheet9"/>
  <dimension ref="A1:Q94"/>
  <sheetViews>
    <sheetView zoomScaleNormal="100" workbookViewId="0">
      <selection sqref="A1:P1"/>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2.625" style="3" customWidth="1"/>
    <col min="14" max="14" width="8.625" style="3" hidden="1" customWidth="1"/>
    <col min="15" max="15" width="12.625" style="3" customWidth="1"/>
    <col min="16" max="16" width="4.125" style="3" customWidth="1"/>
    <col min="17" max="17" width="6.625"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2.625" style="3" customWidth="1"/>
    <col min="270" max="270" width="0" style="3" hidden="1" customWidth="1"/>
    <col min="271" max="271" width="12.625" style="3" customWidth="1"/>
    <col min="272" max="272" width="4.125" style="3" customWidth="1"/>
    <col min="273" max="273" width="6.625"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2.625" style="3" customWidth="1"/>
    <col min="526" max="526" width="0" style="3" hidden="1" customWidth="1"/>
    <col min="527" max="527" width="12.625" style="3" customWidth="1"/>
    <col min="528" max="528" width="4.125" style="3" customWidth="1"/>
    <col min="529" max="529" width="6.625"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2.625" style="3" customWidth="1"/>
    <col min="782" max="782" width="0" style="3" hidden="1" customWidth="1"/>
    <col min="783" max="783" width="12.625" style="3" customWidth="1"/>
    <col min="784" max="784" width="4.125" style="3" customWidth="1"/>
    <col min="785" max="785" width="6.625"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2.625" style="3" customWidth="1"/>
    <col min="1038" max="1038" width="0" style="3" hidden="1" customWidth="1"/>
    <col min="1039" max="1039" width="12.625" style="3" customWidth="1"/>
    <col min="1040" max="1040" width="4.125" style="3" customWidth="1"/>
    <col min="1041" max="1041" width="6.625"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2.625" style="3" customWidth="1"/>
    <col min="1294" max="1294" width="0" style="3" hidden="1" customWidth="1"/>
    <col min="1295" max="1295" width="12.625" style="3" customWidth="1"/>
    <col min="1296" max="1296" width="4.125" style="3" customWidth="1"/>
    <col min="1297" max="1297" width="6.625"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2.625" style="3" customWidth="1"/>
    <col min="1550" max="1550" width="0" style="3" hidden="1" customWidth="1"/>
    <col min="1551" max="1551" width="12.625" style="3" customWidth="1"/>
    <col min="1552" max="1552" width="4.125" style="3" customWidth="1"/>
    <col min="1553" max="1553" width="6.625"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2.625" style="3" customWidth="1"/>
    <col min="1806" max="1806" width="0" style="3" hidden="1" customWidth="1"/>
    <col min="1807" max="1807" width="12.625" style="3" customWidth="1"/>
    <col min="1808" max="1808" width="4.125" style="3" customWidth="1"/>
    <col min="1809" max="1809" width="6.625"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2.625" style="3" customWidth="1"/>
    <col min="2062" max="2062" width="0" style="3" hidden="1" customWidth="1"/>
    <col min="2063" max="2063" width="12.625" style="3" customWidth="1"/>
    <col min="2064" max="2064" width="4.125" style="3" customWidth="1"/>
    <col min="2065" max="2065" width="6.625"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2.625" style="3" customWidth="1"/>
    <col min="2318" max="2318" width="0" style="3" hidden="1" customWidth="1"/>
    <col min="2319" max="2319" width="12.625" style="3" customWidth="1"/>
    <col min="2320" max="2320" width="4.125" style="3" customWidth="1"/>
    <col min="2321" max="2321" width="6.625"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2.625" style="3" customWidth="1"/>
    <col min="2574" max="2574" width="0" style="3" hidden="1" customWidth="1"/>
    <col min="2575" max="2575" width="12.625" style="3" customWidth="1"/>
    <col min="2576" max="2576" width="4.125" style="3" customWidth="1"/>
    <col min="2577" max="2577" width="6.625"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2.625" style="3" customWidth="1"/>
    <col min="2830" max="2830" width="0" style="3" hidden="1" customWidth="1"/>
    <col min="2831" max="2831" width="12.625" style="3" customWidth="1"/>
    <col min="2832" max="2832" width="4.125" style="3" customWidth="1"/>
    <col min="2833" max="2833" width="6.625"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2.625" style="3" customWidth="1"/>
    <col min="3086" max="3086" width="0" style="3" hidden="1" customWidth="1"/>
    <col min="3087" max="3087" width="12.625" style="3" customWidth="1"/>
    <col min="3088" max="3088" width="4.125" style="3" customWidth="1"/>
    <col min="3089" max="3089" width="6.625"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2.625" style="3" customWidth="1"/>
    <col min="3342" max="3342" width="0" style="3" hidden="1" customWidth="1"/>
    <col min="3343" max="3343" width="12.625" style="3" customWidth="1"/>
    <col min="3344" max="3344" width="4.125" style="3" customWidth="1"/>
    <col min="3345" max="3345" width="6.625"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2.625" style="3" customWidth="1"/>
    <col min="3598" max="3598" width="0" style="3" hidden="1" customWidth="1"/>
    <col min="3599" max="3599" width="12.625" style="3" customWidth="1"/>
    <col min="3600" max="3600" width="4.125" style="3" customWidth="1"/>
    <col min="3601" max="3601" width="6.625"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2.625" style="3" customWidth="1"/>
    <col min="3854" max="3854" width="0" style="3" hidden="1" customWidth="1"/>
    <col min="3855" max="3855" width="12.625" style="3" customWidth="1"/>
    <col min="3856" max="3856" width="4.125" style="3" customWidth="1"/>
    <col min="3857" max="3857" width="6.625"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2.625" style="3" customWidth="1"/>
    <col min="4110" max="4110" width="0" style="3" hidden="1" customWidth="1"/>
    <col min="4111" max="4111" width="12.625" style="3" customWidth="1"/>
    <col min="4112" max="4112" width="4.125" style="3" customWidth="1"/>
    <col min="4113" max="4113" width="6.625"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2.625" style="3" customWidth="1"/>
    <col min="4366" max="4366" width="0" style="3" hidden="1" customWidth="1"/>
    <col min="4367" max="4367" width="12.625" style="3" customWidth="1"/>
    <col min="4368" max="4368" width="4.125" style="3" customWidth="1"/>
    <col min="4369" max="4369" width="6.625"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2.625" style="3" customWidth="1"/>
    <col min="4622" max="4622" width="0" style="3" hidden="1" customWidth="1"/>
    <col min="4623" max="4623" width="12.625" style="3" customWidth="1"/>
    <col min="4624" max="4624" width="4.125" style="3" customWidth="1"/>
    <col min="4625" max="4625" width="6.625"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2.625" style="3" customWidth="1"/>
    <col min="4878" max="4878" width="0" style="3" hidden="1" customWidth="1"/>
    <col min="4879" max="4879" width="12.625" style="3" customWidth="1"/>
    <col min="4880" max="4880" width="4.125" style="3" customWidth="1"/>
    <col min="4881" max="4881" width="6.625"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2.625" style="3" customWidth="1"/>
    <col min="5134" max="5134" width="0" style="3" hidden="1" customWidth="1"/>
    <col min="5135" max="5135" width="12.625" style="3" customWidth="1"/>
    <col min="5136" max="5136" width="4.125" style="3" customWidth="1"/>
    <col min="5137" max="5137" width="6.625"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2.625" style="3" customWidth="1"/>
    <col min="5390" max="5390" width="0" style="3" hidden="1" customWidth="1"/>
    <col min="5391" max="5391" width="12.625" style="3" customWidth="1"/>
    <col min="5392" max="5392" width="4.125" style="3" customWidth="1"/>
    <col min="5393" max="5393" width="6.625"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2.625" style="3" customWidth="1"/>
    <col min="5646" max="5646" width="0" style="3" hidden="1" customWidth="1"/>
    <col min="5647" max="5647" width="12.625" style="3" customWidth="1"/>
    <col min="5648" max="5648" width="4.125" style="3" customWidth="1"/>
    <col min="5649" max="5649" width="6.625"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2.625" style="3" customWidth="1"/>
    <col min="5902" max="5902" width="0" style="3" hidden="1" customWidth="1"/>
    <col min="5903" max="5903" width="12.625" style="3" customWidth="1"/>
    <col min="5904" max="5904" width="4.125" style="3" customWidth="1"/>
    <col min="5905" max="5905" width="6.625"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2.625" style="3" customWidth="1"/>
    <col min="6158" max="6158" width="0" style="3" hidden="1" customWidth="1"/>
    <col min="6159" max="6159" width="12.625" style="3" customWidth="1"/>
    <col min="6160" max="6160" width="4.125" style="3" customWidth="1"/>
    <col min="6161" max="6161" width="6.625"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2.625" style="3" customWidth="1"/>
    <col min="6414" max="6414" width="0" style="3" hidden="1" customWidth="1"/>
    <col min="6415" max="6415" width="12.625" style="3" customWidth="1"/>
    <col min="6416" max="6416" width="4.125" style="3" customWidth="1"/>
    <col min="6417" max="6417" width="6.625"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2.625" style="3" customWidth="1"/>
    <col min="6670" max="6670" width="0" style="3" hidden="1" customWidth="1"/>
    <col min="6671" max="6671" width="12.625" style="3" customWidth="1"/>
    <col min="6672" max="6672" width="4.125" style="3" customWidth="1"/>
    <col min="6673" max="6673" width="6.625"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2.625" style="3" customWidth="1"/>
    <col min="6926" max="6926" width="0" style="3" hidden="1" customWidth="1"/>
    <col min="6927" max="6927" width="12.625" style="3" customWidth="1"/>
    <col min="6928" max="6928" width="4.125" style="3" customWidth="1"/>
    <col min="6929" max="6929" width="6.625"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2.625" style="3" customWidth="1"/>
    <col min="7182" max="7182" width="0" style="3" hidden="1" customWidth="1"/>
    <col min="7183" max="7183" width="12.625" style="3" customWidth="1"/>
    <col min="7184" max="7184" width="4.125" style="3" customWidth="1"/>
    <col min="7185" max="7185" width="6.625"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2.625" style="3" customWidth="1"/>
    <col min="7438" max="7438" width="0" style="3" hidden="1" customWidth="1"/>
    <col min="7439" max="7439" width="12.625" style="3" customWidth="1"/>
    <col min="7440" max="7440" width="4.125" style="3" customWidth="1"/>
    <col min="7441" max="7441" width="6.625"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2.625" style="3" customWidth="1"/>
    <col min="7694" max="7694" width="0" style="3" hidden="1" customWidth="1"/>
    <col min="7695" max="7695" width="12.625" style="3" customWidth="1"/>
    <col min="7696" max="7696" width="4.125" style="3" customWidth="1"/>
    <col min="7697" max="7697" width="6.625"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2.625" style="3" customWidth="1"/>
    <col min="7950" max="7950" width="0" style="3" hidden="1" customWidth="1"/>
    <col min="7951" max="7951" width="12.625" style="3" customWidth="1"/>
    <col min="7952" max="7952" width="4.125" style="3" customWidth="1"/>
    <col min="7953" max="7953" width="6.625"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2.625" style="3" customWidth="1"/>
    <col min="8206" max="8206" width="0" style="3" hidden="1" customWidth="1"/>
    <col min="8207" max="8207" width="12.625" style="3" customWidth="1"/>
    <col min="8208" max="8208" width="4.125" style="3" customWidth="1"/>
    <col min="8209" max="8209" width="6.625"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2.625" style="3" customWidth="1"/>
    <col min="8462" max="8462" width="0" style="3" hidden="1" customWidth="1"/>
    <col min="8463" max="8463" width="12.625" style="3" customWidth="1"/>
    <col min="8464" max="8464" width="4.125" style="3" customWidth="1"/>
    <col min="8465" max="8465" width="6.625"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2.625" style="3" customWidth="1"/>
    <col min="8718" max="8718" width="0" style="3" hidden="1" customWidth="1"/>
    <col min="8719" max="8719" width="12.625" style="3" customWidth="1"/>
    <col min="8720" max="8720" width="4.125" style="3" customWidth="1"/>
    <col min="8721" max="8721" width="6.625"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2.625" style="3" customWidth="1"/>
    <col min="8974" max="8974" width="0" style="3" hidden="1" customWidth="1"/>
    <col min="8975" max="8975" width="12.625" style="3" customWidth="1"/>
    <col min="8976" max="8976" width="4.125" style="3" customWidth="1"/>
    <col min="8977" max="8977" width="6.625"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2.625" style="3" customWidth="1"/>
    <col min="9230" max="9230" width="0" style="3" hidden="1" customWidth="1"/>
    <col min="9231" max="9231" width="12.625" style="3" customWidth="1"/>
    <col min="9232" max="9232" width="4.125" style="3" customWidth="1"/>
    <col min="9233" max="9233" width="6.625"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2.625" style="3" customWidth="1"/>
    <col min="9486" max="9486" width="0" style="3" hidden="1" customWidth="1"/>
    <col min="9487" max="9487" width="12.625" style="3" customWidth="1"/>
    <col min="9488" max="9488" width="4.125" style="3" customWidth="1"/>
    <col min="9489" max="9489" width="6.625"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2.625" style="3" customWidth="1"/>
    <col min="9742" max="9742" width="0" style="3" hidden="1" customWidth="1"/>
    <col min="9743" max="9743" width="12.625" style="3" customWidth="1"/>
    <col min="9744" max="9744" width="4.125" style="3" customWidth="1"/>
    <col min="9745" max="9745" width="6.625"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2.625" style="3" customWidth="1"/>
    <col min="9998" max="9998" width="0" style="3" hidden="1" customWidth="1"/>
    <col min="9999" max="9999" width="12.625" style="3" customWidth="1"/>
    <col min="10000" max="10000" width="4.125" style="3" customWidth="1"/>
    <col min="10001" max="10001" width="6.625"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2.625" style="3" customWidth="1"/>
    <col min="10254" max="10254" width="0" style="3" hidden="1" customWidth="1"/>
    <col min="10255" max="10255" width="12.625" style="3" customWidth="1"/>
    <col min="10256" max="10256" width="4.125" style="3" customWidth="1"/>
    <col min="10257" max="10257" width="6.625"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2.625" style="3" customWidth="1"/>
    <col min="10510" max="10510" width="0" style="3" hidden="1" customWidth="1"/>
    <col min="10511" max="10511" width="12.625" style="3" customWidth="1"/>
    <col min="10512" max="10512" width="4.125" style="3" customWidth="1"/>
    <col min="10513" max="10513" width="6.625"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2.625" style="3" customWidth="1"/>
    <col min="10766" max="10766" width="0" style="3" hidden="1" customWidth="1"/>
    <col min="10767" max="10767" width="12.625" style="3" customWidth="1"/>
    <col min="10768" max="10768" width="4.125" style="3" customWidth="1"/>
    <col min="10769" max="10769" width="6.625"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2.625" style="3" customWidth="1"/>
    <col min="11022" max="11022" width="0" style="3" hidden="1" customWidth="1"/>
    <col min="11023" max="11023" width="12.625" style="3" customWidth="1"/>
    <col min="11024" max="11024" width="4.125" style="3" customWidth="1"/>
    <col min="11025" max="11025" width="6.625"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2.625" style="3" customWidth="1"/>
    <col min="11278" max="11278" width="0" style="3" hidden="1" customWidth="1"/>
    <col min="11279" max="11279" width="12.625" style="3" customWidth="1"/>
    <col min="11280" max="11280" width="4.125" style="3" customWidth="1"/>
    <col min="11281" max="11281" width="6.625"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2.625" style="3" customWidth="1"/>
    <col min="11534" max="11534" width="0" style="3" hidden="1" customWidth="1"/>
    <col min="11535" max="11535" width="12.625" style="3" customWidth="1"/>
    <col min="11536" max="11536" width="4.125" style="3" customWidth="1"/>
    <col min="11537" max="11537" width="6.625"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2.625" style="3" customWidth="1"/>
    <col min="11790" max="11790" width="0" style="3" hidden="1" customWidth="1"/>
    <col min="11791" max="11791" width="12.625" style="3" customWidth="1"/>
    <col min="11792" max="11792" width="4.125" style="3" customWidth="1"/>
    <col min="11793" max="11793" width="6.625"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2.625" style="3" customWidth="1"/>
    <col min="12046" max="12046" width="0" style="3" hidden="1" customWidth="1"/>
    <col min="12047" max="12047" width="12.625" style="3" customWidth="1"/>
    <col min="12048" max="12048" width="4.125" style="3" customWidth="1"/>
    <col min="12049" max="12049" width="6.625"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2.625" style="3" customWidth="1"/>
    <col min="12302" max="12302" width="0" style="3" hidden="1" customWidth="1"/>
    <col min="12303" max="12303" width="12.625" style="3" customWidth="1"/>
    <col min="12304" max="12304" width="4.125" style="3" customWidth="1"/>
    <col min="12305" max="12305" width="6.625"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2.625" style="3" customWidth="1"/>
    <col min="12558" max="12558" width="0" style="3" hidden="1" customWidth="1"/>
    <col min="12559" max="12559" width="12.625" style="3" customWidth="1"/>
    <col min="12560" max="12560" width="4.125" style="3" customWidth="1"/>
    <col min="12561" max="12561" width="6.625"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2.625" style="3" customWidth="1"/>
    <col min="12814" max="12814" width="0" style="3" hidden="1" customWidth="1"/>
    <col min="12815" max="12815" width="12.625" style="3" customWidth="1"/>
    <col min="12816" max="12816" width="4.125" style="3" customWidth="1"/>
    <col min="12817" max="12817" width="6.625"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2.625" style="3" customWidth="1"/>
    <col min="13070" max="13070" width="0" style="3" hidden="1" customWidth="1"/>
    <col min="13071" max="13071" width="12.625" style="3" customWidth="1"/>
    <col min="13072" max="13072" width="4.125" style="3" customWidth="1"/>
    <col min="13073" max="13073" width="6.625"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2.625" style="3" customWidth="1"/>
    <col min="13326" max="13326" width="0" style="3" hidden="1" customWidth="1"/>
    <col min="13327" max="13327" width="12.625" style="3" customWidth="1"/>
    <col min="13328" max="13328" width="4.125" style="3" customWidth="1"/>
    <col min="13329" max="13329" width="6.625"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2.625" style="3" customWidth="1"/>
    <col min="13582" max="13582" width="0" style="3" hidden="1" customWidth="1"/>
    <col min="13583" max="13583" width="12.625" style="3" customWidth="1"/>
    <col min="13584" max="13584" width="4.125" style="3" customWidth="1"/>
    <col min="13585" max="13585" width="6.625"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2.625" style="3" customWidth="1"/>
    <col min="13838" max="13838" width="0" style="3" hidden="1" customWidth="1"/>
    <col min="13839" max="13839" width="12.625" style="3" customWidth="1"/>
    <col min="13840" max="13840" width="4.125" style="3" customWidth="1"/>
    <col min="13841" max="13841" width="6.625"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2.625" style="3" customWidth="1"/>
    <col min="14094" max="14094" width="0" style="3" hidden="1" customWidth="1"/>
    <col min="14095" max="14095" width="12.625" style="3" customWidth="1"/>
    <col min="14096" max="14096" width="4.125" style="3" customWidth="1"/>
    <col min="14097" max="14097" width="6.625"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2.625" style="3" customWidth="1"/>
    <col min="14350" max="14350" width="0" style="3" hidden="1" customWidth="1"/>
    <col min="14351" max="14351" width="12.625" style="3" customWidth="1"/>
    <col min="14352" max="14352" width="4.125" style="3" customWidth="1"/>
    <col min="14353" max="14353" width="6.625"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2.625" style="3" customWidth="1"/>
    <col min="14606" max="14606" width="0" style="3" hidden="1" customWidth="1"/>
    <col min="14607" max="14607" width="12.625" style="3" customWidth="1"/>
    <col min="14608" max="14608" width="4.125" style="3" customWidth="1"/>
    <col min="14609" max="14609" width="6.625"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2.625" style="3" customWidth="1"/>
    <col min="14862" max="14862" width="0" style="3" hidden="1" customWidth="1"/>
    <col min="14863" max="14863" width="12.625" style="3" customWidth="1"/>
    <col min="14864" max="14864" width="4.125" style="3" customWidth="1"/>
    <col min="14865" max="14865" width="6.625"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2.625" style="3" customWidth="1"/>
    <col min="15118" max="15118" width="0" style="3" hidden="1" customWidth="1"/>
    <col min="15119" max="15119" width="12.625" style="3" customWidth="1"/>
    <col min="15120" max="15120" width="4.125" style="3" customWidth="1"/>
    <col min="15121" max="15121" width="6.625"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2.625" style="3" customWidth="1"/>
    <col min="15374" max="15374" width="0" style="3" hidden="1" customWidth="1"/>
    <col min="15375" max="15375" width="12.625" style="3" customWidth="1"/>
    <col min="15376" max="15376" width="4.125" style="3" customWidth="1"/>
    <col min="15377" max="15377" width="6.625"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2.625" style="3" customWidth="1"/>
    <col min="15630" max="15630" width="0" style="3" hidden="1" customWidth="1"/>
    <col min="15631" max="15631" width="12.625" style="3" customWidth="1"/>
    <col min="15632" max="15632" width="4.125" style="3" customWidth="1"/>
    <col min="15633" max="15633" width="6.625"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2.625" style="3" customWidth="1"/>
    <col min="15886" max="15886" width="0" style="3" hidden="1" customWidth="1"/>
    <col min="15887" max="15887" width="12.625" style="3" customWidth="1"/>
    <col min="15888" max="15888" width="4.125" style="3" customWidth="1"/>
    <col min="15889" max="15889" width="6.625"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2.625" style="3" customWidth="1"/>
    <col min="16142" max="16142" width="0" style="3" hidden="1" customWidth="1"/>
    <col min="16143" max="16143" width="12.625" style="3" customWidth="1"/>
    <col min="16144" max="16144" width="4.125" style="3" customWidth="1"/>
    <col min="16145" max="16145" width="6.625" style="3" bestFit="1" customWidth="1"/>
    <col min="16146" max="16384" width="9" style="3"/>
  </cols>
  <sheetData>
    <row r="1" spans="1:17" ht="13.5" customHeight="1" x14ac:dyDescent="0.15">
      <c r="A1" s="481" t="s">
        <v>71</v>
      </c>
      <c r="B1" s="481"/>
      <c r="C1" s="481"/>
      <c r="D1" s="481"/>
      <c r="E1" s="481"/>
      <c r="F1" s="481"/>
      <c r="G1" s="481"/>
      <c r="H1" s="481"/>
      <c r="I1" s="481"/>
      <c r="J1" s="481"/>
      <c r="K1" s="481"/>
      <c r="L1" s="481"/>
      <c r="M1" s="481"/>
      <c r="N1" s="481"/>
      <c r="O1" s="481"/>
      <c r="P1" s="481"/>
      <c r="Q1" s="129"/>
    </row>
    <row r="2" spans="1:17" ht="13.5" customHeight="1" x14ac:dyDescent="0.15">
      <c r="C2" s="130"/>
      <c r="D2" s="130"/>
      <c r="E2" s="130"/>
      <c r="F2" s="130"/>
      <c r="G2" s="130"/>
      <c r="H2" s="130"/>
      <c r="M2" s="16"/>
      <c r="N2" s="16"/>
      <c r="O2" s="16"/>
      <c r="P2" s="16"/>
      <c r="Q2" s="16"/>
    </row>
    <row r="3" spans="1:17" ht="13.5" customHeight="1" x14ac:dyDescent="0.15">
      <c r="B3" s="506"/>
      <c r="C3" s="506"/>
      <c r="D3" s="506"/>
      <c r="E3" s="506"/>
      <c r="F3" s="506"/>
      <c r="G3" s="506"/>
      <c r="H3" s="506"/>
      <c r="I3" s="506"/>
      <c r="J3" s="506"/>
      <c r="K3" s="506"/>
      <c r="L3" s="506"/>
      <c r="M3" s="16"/>
      <c r="N3" s="16"/>
      <c r="O3" s="16"/>
      <c r="P3" s="16"/>
      <c r="Q3" s="16"/>
    </row>
    <row r="4" spans="1:17" ht="13.5" customHeight="1" x14ac:dyDescent="0.15">
      <c r="B4" s="506"/>
      <c r="C4" s="506"/>
      <c r="D4" s="506"/>
      <c r="E4" s="506"/>
      <c r="F4" s="506"/>
      <c r="G4" s="506"/>
      <c r="H4" s="506"/>
      <c r="I4" s="506"/>
      <c r="J4" s="506"/>
      <c r="K4" s="506"/>
      <c r="L4" s="506"/>
      <c r="N4" s="131"/>
      <c r="O4" s="131"/>
      <c r="P4" s="131"/>
      <c r="Q4" s="131"/>
    </row>
    <row r="5" spans="1:17" ht="13.5" customHeight="1" x14ac:dyDescent="0.15">
      <c r="C5" s="130"/>
      <c r="D5" s="130"/>
      <c r="E5" s="130"/>
      <c r="F5" s="130"/>
      <c r="G5" s="130"/>
      <c r="H5" s="130"/>
      <c r="M5" s="16"/>
      <c r="N5" s="16"/>
      <c r="O5" s="16"/>
      <c r="P5" s="16"/>
      <c r="Q5" s="16"/>
    </row>
    <row r="6" spans="1:17" ht="13.5" customHeight="1" x14ac:dyDescent="0.15">
      <c r="C6" s="130"/>
      <c r="D6" s="130"/>
      <c r="E6" s="130"/>
      <c r="F6" s="130"/>
      <c r="G6" s="130"/>
      <c r="H6" s="130"/>
      <c r="M6" s="16"/>
      <c r="N6" s="16"/>
      <c r="O6" s="16"/>
      <c r="P6" s="16"/>
      <c r="Q6" s="16"/>
    </row>
    <row r="7" spans="1:17" ht="18.75" customHeight="1" x14ac:dyDescent="0.15">
      <c r="B7" s="507"/>
      <c r="C7" s="507"/>
      <c r="D7" s="507"/>
      <c r="E7" s="132" t="s">
        <v>72</v>
      </c>
      <c r="F7" s="7"/>
      <c r="G7" s="7"/>
    </row>
    <row r="8" spans="1:17" x14ac:dyDescent="0.15">
      <c r="D8" s="9"/>
      <c r="E8" s="9"/>
      <c r="F8" s="9"/>
      <c r="G8" s="9"/>
      <c r="H8" s="9"/>
    </row>
    <row r="9" spans="1:17" ht="17.25" x14ac:dyDescent="0.15">
      <c r="D9" s="9"/>
      <c r="E9" s="9"/>
      <c r="F9" s="9"/>
      <c r="G9" s="9"/>
      <c r="H9" s="133" t="s">
        <v>126</v>
      </c>
    </row>
    <row r="10" spans="1:17" ht="14.25" customHeight="1" x14ac:dyDescent="0.15">
      <c r="D10" s="9"/>
      <c r="E10" s="9"/>
      <c r="F10" s="9"/>
      <c r="G10" s="9"/>
      <c r="H10" s="9"/>
    </row>
    <row r="11" spans="1:17" ht="14.25" customHeight="1" x14ac:dyDescent="0.15">
      <c r="D11" s="9"/>
      <c r="E11" s="9"/>
      <c r="F11" s="9"/>
      <c r="G11" s="9"/>
      <c r="H11" s="9"/>
      <c r="M11" s="134" t="s">
        <v>74</v>
      </c>
      <c r="N11" s="499"/>
      <c r="O11" s="499"/>
      <c r="P11" s="499"/>
    </row>
    <row r="12" spans="1:17" ht="14.25" customHeight="1" x14ac:dyDescent="0.15">
      <c r="D12" s="9"/>
      <c r="E12" s="9"/>
      <c r="F12" s="9"/>
      <c r="G12" s="9"/>
      <c r="H12" s="9"/>
      <c r="N12" s="500"/>
      <c r="O12" s="500"/>
      <c r="P12" s="500"/>
      <c r="Q12" s="135" t="s">
        <v>75</v>
      </c>
    </row>
    <row r="13" spans="1:17" s="136" customFormat="1" ht="10.5" x14ac:dyDescent="0.15">
      <c r="B13" s="137" t="s">
        <v>76</v>
      </c>
      <c r="C13" s="137"/>
      <c r="D13" s="137"/>
      <c r="E13" s="137"/>
      <c r="F13" s="137"/>
      <c r="G13" s="137"/>
      <c r="H13" s="137"/>
      <c r="I13" s="137"/>
      <c r="J13" s="137"/>
      <c r="K13" s="137"/>
      <c r="L13" s="137"/>
      <c r="M13" s="137"/>
      <c r="N13" s="137"/>
      <c r="O13" s="137"/>
      <c r="P13" s="137"/>
      <c r="Q13" s="137"/>
    </row>
    <row r="14" spans="1:17" s="136" customFormat="1" ht="10.5" customHeight="1" x14ac:dyDescent="0.15">
      <c r="B14" s="137" t="s">
        <v>77</v>
      </c>
      <c r="C14" s="137"/>
      <c r="D14" s="137"/>
      <c r="E14" s="137"/>
      <c r="F14" s="137"/>
      <c r="G14" s="137"/>
      <c r="H14" s="137"/>
      <c r="I14" s="137"/>
      <c r="J14" s="137"/>
      <c r="K14" s="137"/>
      <c r="L14" s="137"/>
      <c r="M14" s="187"/>
      <c r="N14" s="137"/>
      <c r="O14" s="188"/>
      <c r="P14" s="188"/>
      <c r="Q14" s="187"/>
    </row>
    <row r="15" spans="1:17" s="136" customFormat="1" ht="10.5" customHeight="1" x14ac:dyDescent="0.15">
      <c r="B15" s="137"/>
      <c r="C15" s="137"/>
      <c r="D15" s="137"/>
      <c r="E15" s="137"/>
      <c r="F15" s="137"/>
      <c r="G15" s="137"/>
      <c r="H15" s="137"/>
      <c r="I15" s="137"/>
      <c r="J15" s="137"/>
      <c r="K15" s="137"/>
      <c r="L15" s="137"/>
      <c r="M15" s="137"/>
      <c r="O15" s="188"/>
      <c r="P15" s="188"/>
      <c r="Q15" s="137"/>
    </row>
    <row r="16" spans="1:17" x14ac:dyDescent="0.15">
      <c r="A16" s="136"/>
      <c r="B16" s="142" t="s">
        <v>80</v>
      </c>
      <c r="C16" s="142"/>
      <c r="D16" s="142"/>
      <c r="E16" s="143"/>
      <c r="F16" s="143"/>
      <c r="G16" s="144"/>
      <c r="H16" s="144"/>
      <c r="I16" s="144"/>
      <c r="J16" s="143"/>
      <c r="K16" s="143"/>
      <c r="L16" s="143"/>
      <c r="N16" s="143"/>
      <c r="P16" s="136"/>
      <c r="Q16" s="143"/>
    </row>
    <row r="17" spans="1:17" s="140" customFormat="1" ht="13.5" customHeight="1" x14ac:dyDescent="0.15">
      <c r="A17" s="143"/>
      <c r="B17" s="472" t="s">
        <v>81</v>
      </c>
      <c r="C17" s="472"/>
      <c r="D17" s="472"/>
      <c r="E17" s="477" t="s">
        <v>82</v>
      </c>
      <c r="F17" s="501"/>
      <c r="G17" s="478"/>
      <c r="H17" s="502" t="s">
        <v>109</v>
      </c>
      <c r="I17" s="503"/>
      <c r="J17" s="472" t="s">
        <v>127</v>
      </c>
      <c r="K17" s="479" t="s">
        <v>84</v>
      </c>
      <c r="L17" s="479"/>
      <c r="M17" s="148"/>
      <c r="N17" s="143"/>
      <c r="O17" s="190" t="s">
        <v>113</v>
      </c>
      <c r="P17" s="143"/>
      <c r="Q17" s="143"/>
    </row>
    <row r="18" spans="1:17" s="140" customFormat="1" ht="13.5" customHeight="1" x14ac:dyDescent="0.15">
      <c r="A18" s="143"/>
      <c r="B18" s="145" t="s">
        <v>111</v>
      </c>
      <c r="C18" s="145" t="s">
        <v>112</v>
      </c>
      <c r="D18" s="145" t="s">
        <v>87</v>
      </c>
      <c r="E18" s="472" t="s">
        <v>59</v>
      </c>
      <c r="F18" s="472"/>
      <c r="G18" s="156"/>
      <c r="H18" s="504"/>
      <c r="I18" s="505"/>
      <c r="J18" s="472"/>
      <c r="K18" s="480" t="s">
        <v>89</v>
      </c>
      <c r="L18" s="480"/>
      <c r="M18" s="148"/>
      <c r="N18" s="143"/>
      <c r="O18" s="143" t="s">
        <v>114</v>
      </c>
      <c r="P18" s="143"/>
    </row>
    <row r="19" spans="1:17" s="191" customFormat="1" ht="13.5" customHeight="1" x14ac:dyDescent="0.15">
      <c r="A19" s="184"/>
      <c r="B19" s="150"/>
      <c r="C19" s="150"/>
      <c r="D19" s="150">
        <f>SUM(B19:C19)</f>
        <v>0</v>
      </c>
      <c r="E19" s="467"/>
      <c r="F19" s="467"/>
      <c r="G19" s="150"/>
      <c r="H19" s="498">
        <f>SUM(G19+E19)</f>
        <v>0</v>
      </c>
      <c r="I19" s="498"/>
      <c r="J19" s="150"/>
      <c r="K19" s="468">
        <f>SUM(E19-D19+H19+J19)</f>
        <v>0</v>
      </c>
      <c r="L19" s="469"/>
      <c r="M19" s="151"/>
      <c r="N19" s="152"/>
      <c r="O19" s="143" t="s">
        <v>115</v>
      </c>
      <c r="P19" s="184"/>
    </row>
    <row r="20" spans="1:17" ht="9.9499999999999993" customHeight="1" x14ac:dyDescent="0.15">
      <c r="A20" s="136"/>
      <c r="B20" s="136"/>
      <c r="C20" s="136"/>
      <c r="D20" s="136"/>
      <c r="E20" s="136"/>
      <c r="F20" s="136"/>
      <c r="G20" s="136"/>
      <c r="H20" s="136"/>
      <c r="I20" s="136"/>
      <c r="J20" s="136"/>
      <c r="K20" s="136"/>
      <c r="L20" s="136"/>
      <c r="N20" s="136"/>
      <c r="O20" s="136"/>
      <c r="P20" s="136"/>
    </row>
    <row r="21" spans="1:17" x14ac:dyDescent="0.15">
      <c r="A21" s="136"/>
      <c r="B21" s="154" t="s">
        <v>90</v>
      </c>
      <c r="C21" s="154"/>
      <c r="D21" s="154"/>
      <c r="E21" s="155" t="s">
        <v>116</v>
      </c>
      <c r="F21" s="155"/>
      <c r="G21" s="155"/>
      <c r="H21" s="155"/>
      <c r="I21" s="155"/>
      <c r="J21" s="136"/>
      <c r="K21" s="136"/>
      <c r="L21" s="136"/>
      <c r="M21" s="136"/>
      <c r="N21" s="136"/>
      <c r="O21" s="136"/>
      <c r="P21" s="136"/>
      <c r="Q21" s="136"/>
    </row>
    <row r="22" spans="1:17" ht="13.5" customHeight="1" x14ac:dyDescent="0.15">
      <c r="A22" s="479" t="s">
        <v>91</v>
      </c>
      <c r="B22" s="476" t="s">
        <v>61</v>
      </c>
      <c r="C22" s="473"/>
      <c r="D22" s="479" t="s">
        <v>93</v>
      </c>
      <c r="E22" s="477" t="s">
        <v>94</v>
      </c>
      <c r="F22" s="478"/>
      <c r="G22" s="479" t="s">
        <v>117</v>
      </c>
      <c r="H22" s="453" t="s">
        <v>118</v>
      </c>
      <c r="I22" s="454"/>
      <c r="J22" s="463" t="s">
        <v>119</v>
      </c>
      <c r="K22" s="463" t="s">
        <v>43</v>
      </c>
      <c r="L22" s="496" t="s">
        <v>120</v>
      </c>
      <c r="M22" s="463" t="s">
        <v>121</v>
      </c>
      <c r="N22" s="146" t="s">
        <v>101</v>
      </c>
      <c r="O22" s="453" t="s">
        <v>122</v>
      </c>
      <c r="P22" s="454"/>
      <c r="Q22" s="136"/>
    </row>
    <row r="23" spans="1:17" x14ac:dyDescent="0.15">
      <c r="A23" s="480"/>
      <c r="B23" s="474"/>
      <c r="C23" s="475"/>
      <c r="D23" s="480"/>
      <c r="E23" s="145" t="s">
        <v>19</v>
      </c>
      <c r="F23" s="145" t="s">
        <v>20</v>
      </c>
      <c r="G23" s="480"/>
      <c r="H23" s="455"/>
      <c r="I23" s="456"/>
      <c r="J23" s="464"/>
      <c r="K23" s="464"/>
      <c r="L23" s="497"/>
      <c r="M23" s="464"/>
      <c r="N23" s="146"/>
      <c r="O23" s="455"/>
      <c r="P23" s="456"/>
      <c r="Q23" s="136"/>
    </row>
    <row r="24" spans="1:17" ht="27" customHeight="1" x14ac:dyDescent="0.15">
      <c r="A24" s="157"/>
      <c r="B24" s="457"/>
      <c r="C24" s="458"/>
      <c r="D24" s="192"/>
      <c r="E24" s="159"/>
      <c r="F24" s="147"/>
      <c r="G24" s="193"/>
      <c r="H24" s="492"/>
      <c r="I24" s="493"/>
      <c r="J24" s="161"/>
      <c r="K24" s="162"/>
      <c r="L24" s="163"/>
      <c r="M24" s="163"/>
      <c r="N24" s="163"/>
      <c r="O24" s="494"/>
      <c r="P24" s="495"/>
      <c r="Q24" s="136"/>
    </row>
    <row r="25" spans="1:17" ht="27" customHeight="1" x14ac:dyDescent="0.15">
      <c r="A25" s="164"/>
      <c r="B25" s="436"/>
      <c r="C25" s="437"/>
      <c r="D25" s="194"/>
      <c r="E25" s="166"/>
      <c r="F25" s="166"/>
      <c r="G25" s="195"/>
      <c r="H25" s="451"/>
      <c r="I25" s="452"/>
      <c r="J25" s="168"/>
      <c r="K25" s="169"/>
      <c r="L25" s="170"/>
      <c r="M25" s="170"/>
      <c r="N25" s="170"/>
      <c r="O25" s="440"/>
      <c r="P25" s="441"/>
      <c r="Q25" s="136"/>
    </row>
    <row r="26" spans="1:17" ht="27" customHeight="1" x14ac:dyDescent="0.15">
      <c r="A26" s="164"/>
      <c r="B26" s="436"/>
      <c r="C26" s="437"/>
      <c r="D26" s="194"/>
      <c r="E26" s="166"/>
      <c r="F26" s="166"/>
      <c r="G26" s="195"/>
      <c r="H26" s="451"/>
      <c r="I26" s="452"/>
      <c r="J26" s="168"/>
      <c r="K26" s="169"/>
      <c r="L26" s="170"/>
      <c r="M26" s="170"/>
      <c r="N26" s="170"/>
      <c r="O26" s="440"/>
      <c r="P26" s="441"/>
      <c r="Q26" s="136"/>
    </row>
    <row r="27" spans="1:17" ht="27" customHeight="1" x14ac:dyDescent="0.15">
      <c r="A27" s="164"/>
      <c r="B27" s="436"/>
      <c r="C27" s="437"/>
      <c r="D27" s="194"/>
      <c r="E27" s="166"/>
      <c r="F27" s="166"/>
      <c r="G27" s="195"/>
      <c r="H27" s="451"/>
      <c r="I27" s="452"/>
      <c r="J27" s="168"/>
      <c r="K27" s="169"/>
      <c r="L27" s="170"/>
      <c r="M27" s="170"/>
      <c r="N27" s="170"/>
      <c r="O27" s="440"/>
      <c r="P27" s="441"/>
      <c r="Q27" s="136"/>
    </row>
    <row r="28" spans="1:17" ht="27" customHeight="1" x14ac:dyDescent="0.15">
      <c r="A28" s="164"/>
      <c r="B28" s="436"/>
      <c r="C28" s="437"/>
      <c r="D28" s="194"/>
      <c r="E28" s="166"/>
      <c r="F28" s="166"/>
      <c r="G28" s="195"/>
      <c r="H28" s="451"/>
      <c r="I28" s="452"/>
      <c r="J28" s="168"/>
      <c r="K28" s="169"/>
      <c r="L28" s="170"/>
      <c r="M28" s="170"/>
      <c r="N28" s="170"/>
      <c r="O28" s="440"/>
      <c r="P28" s="441"/>
      <c r="Q28" s="136"/>
    </row>
    <row r="29" spans="1:17" ht="27" customHeight="1" x14ac:dyDescent="0.15">
      <c r="A29" s="164"/>
      <c r="B29" s="436"/>
      <c r="C29" s="437"/>
      <c r="D29" s="194"/>
      <c r="E29" s="172"/>
      <c r="F29" s="166"/>
      <c r="G29" s="195"/>
      <c r="H29" s="451"/>
      <c r="I29" s="452"/>
      <c r="J29" s="168"/>
      <c r="K29" s="169"/>
      <c r="L29" s="170"/>
      <c r="M29" s="170"/>
      <c r="N29" s="170"/>
      <c r="O29" s="440"/>
      <c r="P29" s="441"/>
      <c r="Q29" s="136"/>
    </row>
    <row r="30" spans="1:17" ht="27" customHeight="1" x14ac:dyDescent="0.15">
      <c r="A30" s="173"/>
      <c r="B30" s="442"/>
      <c r="C30" s="443"/>
      <c r="D30" s="196"/>
      <c r="E30" s="175"/>
      <c r="F30" s="175"/>
      <c r="G30" s="197"/>
      <c r="H30" s="486"/>
      <c r="I30" s="487"/>
      <c r="J30" s="177"/>
      <c r="K30" s="178"/>
      <c r="L30" s="179"/>
      <c r="M30" s="179"/>
      <c r="N30" s="179"/>
      <c r="O30" s="446"/>
      <c r="P30" s="447"/>
      <c r="Q30" s="136"/>
    </row>
    <row r="31" spans="1:17" x14ac:dyDescent="0.15">
      <c r="A31" s="448" t="s">
        <v>103</v>
      </c>
      <c r="B31" s="449"/>
      <c r="C31" s="449"/>
      <c r="D31" s="450"/>
      <c r="E31" s="180">
        <f>SUM(E24:E30)</f>
        <v>0</v>
      </c>
      <c r="F31" s="180">
        <f>SUM(F24:F30)</f>
        <v>0</v>
      </c>
      <c r="H31" s="143"/>
      <c r="I31" s="136"/>
      <c r="J31" s="181"/>
      <c r="K31" s="182"/>
      <c r="L31" s="183">
        <f>SUM(L24:L30)</f>
        <v>0</v>
      </c>
      <c r="M31" s="183">
        <f>SUM(M24:M30)</f>
        <v>0</v>
      </c>
      <c r="N31" s="183">
        <f>SUM(N24:N30)</f>
        <v>0</v>
      </c>
      <c r="O31" s="446">
        <f>SUM(L31-M31-N31)</f>
        <v>0</v>
      </c>
      <c r="P31" s="447"/>
      <c r="Q31" s="136"/>
    </row>
    <row r="32" spans="1:17" ht="3" customHeight="1" x14ac:dyDescent="0.15"/>
    <row r="33" spans="1:17" s="136" customFormat="1" ht="10.5" x14ac:dyDescent="0.15">
      <c r="B33" s="136" t="s">
        <v>104</v>
      </c>
    </row>
    <row r="34" spans="1:17" s="136" customFormat="1" ht="10.5" x14ac:dyDescent="0.15">
      <c r="B34" s="136" t="s">
        <v>105</v>
      </c>
    </row>
    <row r="35" spans="1:17" s="136" customFormat="1" ht="13.5" customHeight="1" x14ac:dyDescent="0.15">
      <c r="D35" s="184" t="s">
        <v>128</v>
      </c>
      <c r="E35" s="136" t="s">
        <v>129</v>
      </c>
    </row>
    <row r="36" spans="1:17" s="136" customFormat="1" ht="13.5" customHeight="1" x14ac:dyDescent="0.15">
      <c r="E36" s="136" t="s">
        <v>130</v>
      </c>
    </row>
    <row r="37" spans="1:17" s="136" customFormat="1" ht="14.25" customHeight="1" x14ac:dyDescent="0.15">
      <c r="E37" s="508" t="s">
        <v>131</v>
      </c>
      <c r="F37" s="508"/>
      <c r="G37" s="508"/>
      <c r="H37" s="508"/>
      <c r="I37" s="508"/>
      <c r="J37" s="508"/>
      <c r="K37" s="508"/>
      <c r="L37" s="508"/>
      <c r="M37" s="508"/>
      <c r="N37" s="508"/>
      <c r="O37" s="508"/>
      <c r="P37" s="508"/>
      <c r="Q37" s="508"/>
    </row>
    <row r="38" spans="1:17" s="203" customFormat="1" ht="3" customHeight="1" x14ac:dyDescent="0.15">
      <c r="E38" s="204"/>
      <c r="F38" s="204"/>
      <c r="G38" s="204"/>
      <c r="H38" s="204"/>
      <c r="I38" s="204"/>
      <c r="J38" s="204"/>
      <c r="K38" s="204"/>
      <c r="L38" s="204"/>
      <c r="M38" s="204"/>
      <c r="N38" s="204"/>
      <c r="O38" s="204"/>
      <c r="P38" s="204"/>
      <c r="Q38" s="204"/>
    </row>
    <row r="39" spans="1:17" s="136" customFormat="1" ht="25.5" customHeight="1" x14ac:dyDescent="0.15">
      <c r="E39" s="509" t="s">
        <v>132</v>
      </c>
      <c r="F39" s="509"/>
      <c r="G39" s="510" t="s">
        <v>133</v>
      </c>
      <c r="H39" s="510"/>
      <c r="I39" s="510"/>
      <c r="J39" s="205" t="s">
        <v>134</v>
      </c>
      <c r="K39" s="510" t="s">
        <v>135</v>
      </c>
      <c r="L39" s="510"/>
      <c r="M39" s="510"/>
      <c r="N39" s="510"/>
      <c r="O39" s="510"/>
      <c r="P39" s="510"/>
    </row>
    <row r="40" spans="1:17" s="203" customFormat="1" ht="3" customHeight="1" x14ac:dyDescent="0.15">
      <c r="E40" s="206"/>
      <c r="F40" s="206"/>
      <c r="G40" s="207"/>
      <c r="H40" s="207"/>
      <c r="I40" s="207"/>
      <c r="J40" s="206"/>
      <c r="K40" s="207"/>
      <c r="L40" s="207"/>
      <c r="M40" s="207"/>
      <c r="N40" s="207"/>
      <c r="O40" s="207"/>
      <c r="P40" s="207"/>
    </row>
    <row r="41" spans="1:17" ht="13.5" customHeight="1" x14ac:dyDescent="0.15">
      <c r="A41" s="481"/>
      <c r="B41" s="481"/>
      <c r="C41" s="481"/>
      <c r="D41" s="481"/>
      <c r="E41" s="481"/>
      <c r="F41" s="481"/>
      <c r="G41" s="481"/>
      <c r="H41" s="481"/>
      <c r="I41" s="481"/>
      <c r="J41" s="481"/>
      <c r="K41" s="481"/>
      <c r="L41" s="481"/>
      <c r="M41" s="481"/>
      <c r="N41" s="481"/>
      <c r="O41" s="481"/>
      <c r="P41" s="481"/>
      <c r="Q41" s="129"/>
    </row>
    <row r="42" spans="1:17" ht="13.5" customHeight="1" x14ac:dyDescent="0.15">
      <c r="D42" s="506"/>
      <c r="E42" s="506"/>
      <c r="F42" s="506"/>
      <c r="G42" s="506"/>
      <c r="H42" s="506"/>
      <c r="M42" s="16"/>
      <c r="N42" s="16"/>
      <c r="O42" s="16"/>
      <c r="P42" s="16"/>
      <c r="Q42" s="16"/>
    </row>
    <row r="43" spans="1:17" ht="13.5" customHeight="1" x14ac:dyDescent="0.15">
      <c r="D43" s="506"/>
      <c r="E43" s="506"/>
      <c r="F43" s="506"/>
      <c r="G43" s="506"/>
      <c r="H43" s="506"/>
      <c r="J43" s="16"/>
      <c r="K43" s="16"/>
      <c r="L43" s="16"/>
      <c r="M43" s="16"/>
      <c r="N43" s="16"/>
      <c r="O43" s="16"/>
      <c r="P43" s="16"/>
      <c r="Q43" s="16"/>
    </row>
    <row r="44" spans="1:17" ht="13.5" customHeight="1" x14ac:dyDescent="0.15">
      <c r="D44" s="506"/>
      <c r="E44" s="506"/>
      <c r="F44" s="506"/>
      <c r="G44" s="506"/>
      <c r="H44" s="506"/>
      <c r="N44" s="131"/>
      <c r="O44" s="131"/>
      <c r="P44" s="131"/>
      <c r="Q44" s="131"/>
    </row>
    <row r="45" spans="1:17" ht="13.5" customHeight="1" x14ac:dyDescent="0.15">
      <c r="D45" s="506"/>
      <c r="E45" s="506"/>
      <c r="F45" s="506"/>
      <c r="G45" s="506"/>
      <c r="H45" s="506"/>
      <c r="M45" s="16"/>
      <c r="N45" s="16"/>
      <c r="O45" s="16"/>
      <c r="P45" s="16"/>
      <c r="Q45" s="16"/>
    </row>
    <row r="46" spans="1:17" ht="13.5" customHeight="1" x14ac:dyDescent="0.15">
      <c r="D46" s="506"/>
      <c r="E46" s="506"/>
      <c r="F46" s="506"/>
      <c r="G46" s="506"/>
      <c r="H46" s="506"/>
      <c r="M46" s="16"/>
      <c r="N46" s="16"/>
      <c r="O46" s="16"/>
      <c r="P46" s="16"/>
      <c r="Q46" s="16"/>
    </row>
    <row r="47" spans="1:17" ht="18.75" customHeight="1" x14ac:dyDescent="0.15">
      <c r="D47" s="370"/>
      <c r="E47" s="370"/>
      <c r="F47" s="370"/>
      <c r="G47" s="370"/>
      <c r="H47" s="132"/>
    </row>
    <row r="48" spans="1:17" x14ac:dyDescent="0.15">
      <c r="E48" s="507"/>
      <c r="F48" s="507"/>
      <c r="G48" s="507"/>
      <c r="H48" s="9"/>
    </row>
    <row r="49" spans="1:17" ht="17.25" x14ac:dyDescent="0.15">
      <c r="E49" s="9"/>
      <c r="F49" s="9"/>
      <c r="G49" s="9"/>
      <c r="H49" s="133" t="s">
        <v>126</v>
      </c>
      <c r="J49" s="133"/>
    </row>
    <row r="50" spans="1:17" ht="14.25" customHeight="1" x14ac:dyDescent="0.15">
      <c r="E50" s="9"/>
      <c r="F50" s="9"/>
      <c r="G50" s="9"/>
      <c r="H50" s="9"/>
    </row>
    <row r="51" spans="1:17" ht="14.25" customHeight="1" x14ac:dyDescent="0.15">
      <c r="D51" s="9"/>
      <c r="E51" s="9"/>
      <c r="F51" s="9"/>
      <c r="G51" s="9"/>
      <c r="H51" s="9"/>
      <c r="M51" s="134" t="s">
        <v>74</v>
      </c>
      <c r="N51" s="499">
        <f>N11</f>
        <v>0</v>
      </c>
      <c r="O51" s="499"/>
      <c r="P51" s="499"/>
    </row>
    <row r="52" spans="1:17" ht="14.25" customHeight="1" x14ac:dyDescent="0.15">
      <c r="D52" s="9"/>
      <c r="E52" s="9"/>
      <c r="F52" s="9"/>
      <c r="G52" s="9"/>
      <c r="H52" s="9"/>
      <c r="N52" s="500">
        <f>N12</f>
        <v>0</v>
      </c>
      <c r="O52" s="500"/>
      <c r="P52" s="500"/>
      <c r="Q52" s="135" t="s">
        <v>75</v>
      </c>
    </row>
    <row r="53" spans="1:17" ht="10.5" customHeight="1" x14ac:dyDescent="0.15">
      <c r="D53" s="9"/>
      <c r="E53" s="9"/>
      <c r="F53" s="9"/>
      <c r="G53" s="9"/>
      <c r="H53" s="9"/>
      <c r="N53" s="9"/>
      <c r="O53" s="9"/>
      <c r="P53" s="9"/>
      <c r="Q53" s="134"/>
    </row>
    <row r="54" spans="1:17" ht="10.5" customHeight="1" x14ac:dyDescent="0.15">
      <c r="D54" s="9"/>
      <c r="E54" s="9"/>
      <c r="F54" s="9"/>
      <c r="G54" s="9"/>
      <c r="H54" s="9"/>
      <c r="M54" s="187"/>
      <c r="N54" s="137"/>
      <c r="O54" s="188"/>
      <c r="P54" s="188"/>
      <c r="Q54" s="187"/>
    </row>
    <row r="55" spans="1:17" ht="10.5" customHeight="1" x14ac:dyDescent="0.15">
      <c r="D55" s="9"/>
      <c r="E55" s="9"/>
      <c r="F55" s="9"/>
      <c r="G55" s="9"/>
      <c r="H55" s="9"/>
      <c r="M55" s="137"/>
      <c r="N55" s="136"/>
      <c r="O55" s="188"/>
      <c r="P55" s="188"/>
      <c r="Q55" s="137"/>
    </row>
    <row r="56" spans="1:17" x14ac:dyDescent="0.15">
      <c r="A56" s="136"/>
      <c r="B56" s="142" t="s">
        <v>80</v>
      </c>
      <c r="C56" s="142"/>
      <c r="D56" s="142"/>
      <c r="E56" s="143"/>
      <c r="F56" s="143"/>
      <c r="G56" s="144"/>
      <c r="H56" s="144"/>
      <c r="I56" s="144"/>
      <c r="J56" s="143"/>
      <c r="K56" s="143"/>
      <c r="L56" s="143"/>
      <c r="M56" s="143"/>
      <c r="N56" s="143"/>
      <c r="O56" s="136"/>
      <c r="P56" s="136"/>
      <c r="Q56" s="198"/>
    </row>
    <row r="57" spans="1:17" s="140" customFormat="1" ht="13.5" customHeight="1" x14ac:dyDescent="0.15">
      <c r="A57" s="143"/>
      <c r="B57" s="472" t="s">
        <v>81</v>
      </c>
      <c r="C57" s="472"/>
      <c r="D57" s="472"/>
      <c r="E57" s="477" t="s">
        <v>123</v>
      </c>
      <c r="F57" s="501"/>
      <c r="G57" s="501"/>
      <c r="H57" s="502" t="s">
        <v>109</v>
      </c>
      <c r="I57" s="503"/>
      <c r="J57" s="472" t="s">
        <v>136</v>
      </c>
      <c r="K57" s="479" t="s">
        <v>84</v>
      </c>
      <c r="L57" s="479"/>
      <c r="M57" s="148"/>
      <c r="N57" s="143"/>
      <c r="O57" s="190" t="s">
        <v>113</v>
      </c>
      <c r="P57" s="143"/>
      <c r="Q57" s="143"/>
    </row>
    <row r="58" spans="1:17" s="140" customFormat="1" ht="13.5" customHeight="1" x14ac:dyDescent="0.15">
      <c r="A58" s="143"/>
      <c r="B58" s="145" t="s">
        <v>111</v>
      </c>
      <c r="C58" s="145" t="s">
        <v>125</v>
      </c>
      <c r="D58" s="145" t="s">
        <v>87</v>
      </c>
      <c r="E58" s="472" t="s">
        <v>59</v>
      </c>
      <c r="F58" s="472"/>
      <c r="G58" s="156"/>
      <c r="H58" s="504"/>
      <c r="I58" s="505"/>
      <c r="J58" s="472"/>
      <c r="K58" s="480" t="s">
        <v>89</v>
      </c>
      <c r="L58" s="480"/>
      <c r="M58" s="148"/>
      <c r="N58" s="143"/>
      <c r="O58" s="143" t="s">
        <v>114</v>
      </c>
      <c r="P58" s="143"/>
    </row>
    <row r="59" spans="1:17" s="191" customFormat="1" ht="13.5" customHeight="1" x14ac:dyDescent="0.15">
      <c r="A59" s="184"/>
      <c r="B59" s="150"/>
      <c r="C59" s="150"/>
      <c r="D59" s="150">
        <f>SUM(B59:C59)</f>
        <v>0</v>
      </c>
      <c r="E59" s="467"/>
      <c r="F59" s="467"/>
      <c r="G59" s="150"/>
      <c r="H59" s="498">
        <f>SUM(G59+E59)</f>
        <v>0</v>
      </c>
      <c r="I59" s="498"/>
      <c r="J59" s="150"/>
      <c r="K59" s="467">
        <f>SUM(H59-D59+J59)</f>
        <v>0</v>
      </c>
      <c r="L59" s="467"/>
      <c r="M59" s="151"/>
      <c r="N59" s="152"/>
      <c r="O59" s="143" t="s">
        <v>115</v>
      </c>
      <c r="P59" s="184"/>
    </row>
    <row r="60" spans="1:17" ht="9.9499999999999993" customHeight="1" x14ac:dyDescent="0.15">
      <c r="A60" s="136"/>
      <c r="B60" s="136"/>
      <c r="C60" s="136"/>
      <c r="D60" s="136"/>
      <c r="E60" s="136"/>
      <c r="F60" s="136"/>
      <c r="G60" s="136"/>
      <c r="H60" s="136"/>
      <c r="I60" s="136"/>
      <c r="J60" s="136"/>
      <c r="K60" s="136"/>
      <c r="L60" s="136"/>
      <c r="N60" s="136"/>
      <c r="O60" s="136"/>
      <c r="P60" s="136"/>
    </row>
    <row r="61" spans="1:17" x14ac:dyDescent="0.15">
      <c r="A61" s="136"/>
      <c r="B61" s="154" t="s">
        <v>90</v>
      </c>
      <c r="C61" s="154"/>
      <c r="D61" s="154"/>
      <c r="E61" s="155"/>
      <c r="F61" s="155"/>
      <c r="G61" s="155"/>
      <c r="H61" s="155"/>
      <c r="I61" s="155"/>
      <c r="J61" s="136"/>
      <c r="K61" s="136"/>
      <c r="L61" s="136"/>
      <c r="M61" s="136"/>
      <c r="N61" s="136"/>
      <c r="O61" s="136"/>
      <c r="P61" s="136"/>
      <c r="Q61" s="136"/>
    </row>
    <row r="62" spans="1:17" ht="13.5" customHeight="1" x14ac:dyDescent="0.15">
      <c r="A62" s="479" t="s">
        <v>91</v>
      </c>
      <c r="B62" s="476" t="s">
        <v>61</v>
      </c>
      <c r="C62" s="473"/>
      <c r="D62" s="479" t="s">
        <v>93</v>
      </c>
      <c r="E62" s="477" t="s">
        <v>94</v>
      </c>
      <c r="F62" s="478"/>
      <c r="G62" s="479" t="s">
        <v>117</v>
      </c>
      <c r="H62" s="476" t="s">
        <v>118</v>
      </c>
      <c r="I62" s="473"/>
      <c r="J62" s="479" t="s">
        <v>119</v>
      </c>
      <c r="K62" s="479" t="s">
        <v>43</v>
      </c>
      <c r="L62" s="511" t="s">
        <v>120</v>
      </c>
      <c r="M62" s="479" t="s">
        <v>121</v>
      </c>
      <c r="N62" s="145" t="s">
        <v>101</v>
      </c>
      <c r="O62" s="476" t="s">
        <v>122</v>
      </c>
      <c r="P62" s="473"/>
      <c r="Q62" s="136"/>
    </row>
    <row r="63" spans="1:17" x14ac:dyDescent="0.15">
      <c r="A63" s="480"/>
      <c r="B63" s="474"/>
      <c r="C63" s="475"/>
      <c r="D63" s="480"/>
      <c r="E63" s="145" t="s">
        <v>19</v>
      </c>
      <c r="F63" s="145" t="s">
        <v>20</v>
      </c>
      <c r="G63" s="480"/>
      <c r="H63" s="474"/>
      <c r="I63" s="475"/>
      <c r="J63" s="480"/>
      <c r="K63" s="480"/>
      <c r="L63" s="512"/>
      <c r="M63" s="480"/>
      <c r="N63" s="145"/>
      <c r="O63" s="474"/>
      <c r="P63" s="475"/>
      <c r="Q63" s="136"/>
    </row>
    <row r="64" spans="1:17" ht="27" customHeight="1" x14ac:dyDescent="0.15">
      <c r="A64" s="157"/>
      <c r="B64" s="457"/>
      <c r="C64" s="458"/>
      <c r="D64" s="192"/>
      <c r="E64" s="159"/>
      <c r="F64" s="147"/>
      <c r="G64" s="193"/>
      <c r="H64" s="492"/>
      <c r="I64" s="493"/>
      <c r="J64" s="161"/>
      <c r="K64" s="162"/>
      <c r="L64" s="163"/>
      <c r="M64" s="163"/>
      <c r="N64" s="163"/>
      <c r="O64" s="494"/>
      <c r="P64" s="495"/>
    </row>
    <row r="65" spans="1:17" ht="27" customHeight="1" x14ac:dyDescent="0.15">
      <c r="A65" s="164"/>
      <c r="B65" s="436"/>
      <c r="C65" s="437"/>
      <c r="D65" s="194"/>
      <c r="E65" s="166"/>
      <c r="F65" s="166"/>
      <c r="G65" s="195"/>
      <c r="H65" s="451"/>
      <c r="I65" s="452"/>
      <c r="J65" s="168"/>
      <c r="K65" s="169"/>
      <c r="L65" s="170"/>
      <c r="M65" s="170"/>
      <c r="N65" s="170"/>
      <c r="O65" s="440"/>
      <c r="P65" s="441"/>
    </row>
    <row r="66" spans="1:17" ht="27" customHeight="1" x14ac:dyDescent="0.15">
      <c r="A66" s="164"/>
      <c r="B66" s="436"/>
      <c r="C66" s="437"/>
      <c r="D66" s="194"/>
      <c r="E66" s="166"/>
      <c r="F66" s="166"/>
      <c r="G66" s="195"/>
      <c r="H66" s="451"/>
      <c r="I66" s="452"/>
      <c r="J66" s="168"/>
      <c r="K66" s="169"/>
      <c r="L66" s="170"/>
      <c r="M66" s="170"/>
      <c r="N66" s="170"/>
      <c r="O66" s="440"/>
      <c r="P66" s="441"/>
    </row>
    <row r="67" spans="1:17" ht="27" customHeight="1" x14ac:dyDescent="0.15">
      <c r="A67" s="164"/>
      <c r="B67" s="436"/>
      <c r="C67" s="437"/>
      <c r="D67" s="194"/>
      <c r="E67" s="166"/>
      <c r="F67" s="166"/>
      <c r="G67" s="195"/>
      <c r="H67" s="451"/>
      <c r="I67" s="452"/>
      <c r="J67" s="168"/>
      <c r="K67" s="169"/>
      <c r="L67" s="170"/>
      <c r="M67" s="170"/>
      <c r="N67" s="170"/>
      <c r="O67" s="440"/>
      <c r="P67" s="441"/>
    </row>
    <row r="68" spans="1:17" ht="27" customHeight="1" x14ac:dyDescent="0.15">
      <c r="A68" s="164"/>
      <c r="B68" s="436"/>
      <c r="C68" s="437"/>
      <c r="D68" s="194"/>
      <c r="E68" s="166"/>
      <c r="F68" s="166"/>
      <c r="G68" s="195"/>
      <c r="H68" s="451"/>
      <c r="I68" s="452"/>
      <c r="J68" s="168"/>
      <c r="K68" s="169"/>
      <c r="L68" s="170"/>
      <c r="M68" s="170"/>
      <c r="N68" s="170"/>
      <c r="O68" s="440"/>
      <c r="P68" s="441"/>
    </row>
    <row r="69" spans="1:17" ht="27" customHeight="1" x14ac:dyDescent="0.15">
      <c r="A69" s="164"/>
      <c r="B69" s="436"/>
      <c r="C69" s="437"/>
      <c r="D69" s="194"/>
      <c r="E69" s="166"/>
      <c r="F69" s="166"/>
      <c r="G69" s="195"/>
      <c r="H69" s="451"/>
      <c r="I69" s="452"/>
      <c r="J69" s="168"/>
      <c r="K69" s="169"/>
      <c r="L69" s="170"/>
      <c r="M69" s="170"/>
      <c r="N69" s="170"/>
      <c r="O69" s="440"/>
      <c r="P69" s="441"/>
    </row>
    <row r="70" spans="1:17" ht="27" customHeight="1" x14ac:dyDescent="0.15">
      <c r="A70" s="173"/>
      <c r="B70" s="442"/>
      <c r="C70" s="443"/>
      <c r="D70" s="196"/>
      <c r="E70" s="175"/>
      <c r="F70" s="175"/>
      <c r="G70" s="197"/>
      <c r="H70" s="486"/>
      <c r="I70" s="487"/>
      <c r="J70" s="177"/>
      <c r="K70" s="178"/>
      <c r="L70" s="179"/>
      <c r="M70" s="179"/>
      <c r="N70" s="179"/>
      <c r="O70" s="488"/>
      <c r="P70" s="489"/>
    </row>
    <row r="71" spans="1:17" x14ac:dyDescent="0.15">
      <c r="A71" s="448" t="s">
        <v>103</v>
      </c>
      <c r="B71" s="449"/>
      <c r="C71" s="449"/>
      <c r="D71" s="450"/>
      <c r="E71" s="199">
        <f>SUM(E64:E70)</f>
        <v>0</v>
      </c>
      <c r="F71" s="180">
        <f>SUM(F64:F70)</f>
        <v>0</v>
      </c>
      <c r="G71" s="129"/>
      <c r="H71" s="184"/>
      <c r="I71" s="184"/>
      <c r="J71" s="181"/>
      <c r="K71" s="182"/>
      <c r="L71" s="183">
        <f>SUM(L64:L70)</f>
        <v>0</v>
      </c>
      <c r="M71" s="183">
        <f>SUM(M64:M70)</f>
        <v>0</v>
      </c>
      <c r="N71" s="183">
        <f>SUM(N64:N70)</f>
        <v>0</v>
      </c>
      <c r="O71" s="490">
        <f>SUM(L71-M71-N71)</f>
        <v>0</v>
      </c>
      <c r="P71" s="491"/>
    </row>
    <row r="72" spans="1:17" ht="3" customHeight="1" x14ac:dyDescent="0.15"/>
    <row r="73" spans="1:17" s="136" customFormat="1" ht="10.5" x14ac:dyDescent="0.15">
      <c r="B73" s="136" t="s">
        <v>104</v>
      </c>
    </row>
    <row r="74" spans="1:17" s="136" customFormat="1" ht="10.5" x14ac:dyDescent="0.15">
      <c r="B74" s="136" t="s">
        <v>105</v>
      </c>
    </row>
    <row r="75" spans="1:17" s="136" customFormat="1" ht="13.5" customHeight="1" x14ac:dyDescent="0.15">
      <c r="D75" s="184" t="s">
        <v>128</v>
      </c>
      <c r="E75" s="136" t="s">
        <v>129</v>
      </c>
    </row>
    <row r="76" spans="1:17" s="136" customFormat="1" ht="13.5" customHeight="1" x14ac:dyDescent="0.15">
      <c r="E76" s="136" t="s">
        <v>130</v>
      </c>
    </row>
    <row r="77" spans="1:17" s="136" customFormat="1" ht="14.25" customHeight="1" x14ac:dyDescent="0.15">
      <c r="E77" s="508" t="s">
        <v>131</v>
      </c>
      <c r="F77" s="508"/>
      <c r="G77" s="508"/>
      <c r="H77" s="508"/>
      <c r="I77" s="508"/>
      <c r="J77" s="508"/>
      <c r="K77" s="508"/>
      <c r="L77" s="508"/>
      <c r="M77" s="508"/>
      <c r="N77" s="508"/>
      <c r="O77" s="508"/>
      <c r="P77" s="508"/>
      <c r="Q77" s="508"/>
    </row>
    <row r="78" spans="1:17" s="203" customFormat="1" ht="3" customHeight="1" x14ac:dyDescent="0.15">
      <c r="E78" s="204"/>
      <c r="F78" s="204"/>
      <c r="G78" s="204"/>
      <c r="H78" s="204"/>
      <c r="I78" s="204"/>
      <c r="J78" s="204"/>
      <c r="K78" s="204"/>
      <c r="L78" s="204"/>
      <c r="M78" s="204"/>
      <c r="N78" s="204"/>
      <c r="O78" s="204"/>
      <c r="P78" s="204"/>
      <c r="Q78" s="204"/>
    </row>
    <row r="79" spans="1:17" s="136" customFormat="1" ht="25.5" customHeight="1" x14ac:dyDescent="0.15">
      <c r="E79" s="509" t="s">
        <v>132</v>
      </c>
      <c r="F79" s="509"/>
      <c r="G79" s="510" t="s">
        <v>133</v>
      </c>
      <c r="H79" s="510"/>
      <c r="I79" s="510"/>
      <c r="J79" s="205" t="s">
        <v>134</v>
      </c>
      <c r="K79" s="510" t="s">
        <v>135</v>
      </c>
      <c r="L79" s="510"/>
      <c r="M79" s="510"/>
      <c r="N79" s="510"/>
      <c r="O79" s="510"/>
      <c r="P79" s="510"/>
    </row>
    <row r="80" spans="1:17" s="203" customFormat="1" ht="3" customHeight="1" x14ac:dyDescent="0.15"/>
    <row r="81" spans="2:17" x14ac:dyDescent="0.15">
      <c r="B81" s="16"/>
    </row>
    <row r="82" spans="2:17" x14ac:dyDescent="0.15">
      <c r="C82" s="16"/>
      <c r="D82" s="16"/>
      <c r="E82" s="16"/>
      <c r="F82" s="16"/>
      <c r="G82" s="16"/>
      <c r="H82" s="16"/>
      <c r="I82" s="16"/>
      <c r="J82" s="16"/>
      <c r="K82" s="16"/>
      <c r="L82" s="16"/>
      <c r="M82" s="16"/>
      <c r="N82" s="16"/>
      <c r="O82" s="16"/>
      <c r="P82" s="16"/>
      <c r="Q82" s="16"/>
    </row>
    <row r="83" spans="2:17" x14ac:dyDescent="0.15">
      <c r="C83" s="16"/>
      <c r="D83" s="16"/>
      <c r="E83" s="16"/>
      <c r="F83" s="16"/>
      <c r="G83" s="16"/>
      <c r="H83" s="16"/>
      <c r="I83" s="16"/>
      <c r="J83" s="16"/>
      <c r="K83" s="16"/>
      <c r="L83" s="16"/>
      <c r="M83" s="16"/>
      <c r="N83" s="16"/>
      <c r="O83" s="16"/>
      <c r="P83" s="16"/>
      <c r="Q83" s="16"/>
    </row>
    <row r="84" spans="2:17" x14ac:dyDescent="0.15">
      <c r="C84" s="16"/>
      <c r="D84" s="16"/>
      <c r="E84" s="16"/>
      <c r="F84" s="16"/>
      <c r="G84" s="16"/>
      <c r="H84" s="16"/>
      <c r="I84" s="16"/>
      <c r="J84" s="16"/>
      <c r="K84" s="16"/>
      <c r="L84" s="16"/>
      <c r="M84" s="16"/>
      <c r="N84" s="16"/>
      <c r="O84" s="16"/>
      <c r="P84" s="16"/>
      <c r="Q84" s="16"/>
    </row>
    <row r="85" spans="2:17" x14ac:dyDescent="0.15">
      <c r="B85" s="185"/>
      <c r="C85" s="185"/>
      <c r="D85" s="185"/>
      <c r="E85" s="185"/>
      <c r="F85" s="185"/>
      <c r="G85" s="185"/>
      <c r="H85" s="185"/>
      <c r="I85" s="185"/>
      <c r="J85" s="185"/>
      <c r="K85" s="185"/>
      <c r="L85" s="185"/>
      <c r="M85" s="185"/>
      <c r="N85" s="185"/>
      <c r="O85" s="185"/>
      <c r="P85" s="185"/>
      <c r="Q85" s="185"/>
    </row>
    <row r="86" spans="2:17" x14ac:dyDescent="0.15">
      <c r="B86" s="185"/>
      <c r="C86" s="185"/>
      <c r="D86" s="185"/>
      <c r="E86" s="185"/>
      <c r="F86" s="185"/>
      <c r="G86" s="185"/>
      <c r="H86" s="185"/>
      <c r="I86" s="185"/>
      <c r="J86" s="185"/>
      <c r="K86" s="185"/>
      <c r="L86" s="185"/>
      <c r="M86" s="185"/>
      <c r="N86" s="185"/>
      <c r="O86" s="185"/>
      <c r="P86" s="185"/>
      <c r="Q86" s="185"/>
    </row>
    <row r="87" spans="2:17" x14ac:dyDescent="0.15">
      <c r="B87" s="185"/>
      <c r="C87" s="185"/>
      <c r="D87" s="185"/>
      <c r="E87" s="185"/>
      <c r="F87" s="185"/>
      <c r="G87" s="185"/>
      <c r="H87" s="185"/>
      <c r="I87" s="185"/>
      <c r="J87" s="185"/>
      <c r="K87" s="185"/>
      <c r="L87" s="185"/>
      <c r="M87" s="185"/>
      <c r="N87" s="185"/>
      <c r="O87" s="185"/>
      <c r="P87" s="185"/>
      <c r="Q87" s="185"/>
    </row>
    <row r="88" spans="2:17" x14ac:dyDescent="0.15">
      <c r="B88" s="185"/>
      <c r="C88" s="185"/>
      <c r="D88" s="185"/>
      <c r="E88" s="185"/>
      <c r="F88" s="185"/>
      <c r="G88" s="185"/>
      <c r="H88" s="185"/>
      <c r="I88" s="185"/>
      <c r="J88" s="185"/>
      <c r="K88" s="185"/>
      <c r="L88" s="185"/>
      <c r="M88" s="185"/>
      <c r="N88" s="185"/>
      <c r="O88" s="185"/>
      <c r="P88" s="185"/>
      <c r="Q88" s="185"/>
    </row>
    <row r="89" spans="2:17" x14ac:dyDescent="0.15">
      <c r="B89" s="185"/>
      <c r="C89" s="185"/>
      <c r="D89" s="185"/>
      <c r="E89" s="185"/>
      <c r="F89" s="185"/>
      <c r="G89" s="185"/>
      <c r="H89" s="185"/>
      <c r="I89" s="185"/>
      <c r="J89" s="185"/>
      <c r="K89" s="185"/>
      <c r="L89" s="185"/>
      <c r="M89" s="185"/>
      <c r="N89" s="185"/>
      <c r="O89" s="185"/>
      <c r="P89" s="185"/>
      <c r="Q89" s="185"/>
    </row>
    <row r="90" spans="2:17" x14ac:dyDescent="0.15">
      <c r="B90" s="185"/>
      <c r="C90" s="185"/>
      <c r="D90" s="185"/>
      <c r="E90" s="185"/>
      <c r="F90" s="185"/>
      <c r="G90" s="185"/>
      <c r="H90" s="185"/>
      <c r="I90" s="185"/>
      <c r="J90" s="185"/>
      <c r="K90" s="185"/>
      <c r="L90" s="185"/>
      <c r="M90" s="185"/>
      <c r="N90" s="185"/>
      <c r="O90" s="185"/>
      <c r="P90" s="185"/>
      <c r="Q90" s="185"/>
    </row>
    <row r="91" spans="2:17" x14ac:dyDescent="0.15">
      <c r="B91" s="185"/>
      <c r="C91" s="185"/>
      <c r="D91" s="185"/>
      <c r="E91" s="185"/>
      <c r="F91" s="185"/>
      <c r="G91" s="185"/>
      <c r="H91" s="185"/>
      <c r="I91" s="185"/>
      <c r="J91" s="185"/>
      <c r="K91" s="185"/>
      <c r="L91" s="185"/>
      <c r="M91" s="185"/>
      <c r="N91" s="185"/>
      <c r="O91" s="185"/>
      <c r="P91" s="185"/>
      <c r="Q91" s="185"/>
    </row>
    <row r="92" spans="2:17" x14ac:dyDescent="0.15">
      <c r="B92" s="185"/>
      <c r="C92" s="185"/>
      <c r="D92" s="185"/>
      <c r="E92" s="185"/>
      <c r="F92" s="185"/>
      <c r="G92" s="185"/>
      <c r="H92" s="185"/>
      <c r="I92" s="185"/>
      <c r="J92" s="185"/>
      <c r="K92" s="185"/>
      <c r="L92" s="185"/>
      <c r="M92" s="185"/>
      <c r="N92" s="185"/>
      <c r="O92" s="185"/>
      <c r="P92" s="185"/>
      <c r="Q92" s="185"/>
    </row>
    <row r="93" spans="2:17" x14ac:dyDescent="0.15">
      <c r="B93" s="185"/>
      <c r="C93" s="185"/>
      <c r="D93" s="185"/>
      <c r="E93" s="185"/>
      <c r="F93" s="185"/>
      <c r="G93" s="185"/>
      <c r="H93" s="185"/>
      <c r="I93" s="185"/>
      <c r="J93" s="185"/>
      <c r="K93" s="185"/>
      <c r="L93" s="185"/>
      <c r="M93" s="185"/>
      <c r="N93" s="185"/>
      <c r="O93" s="185"/>
      <c r="P93" s="185"/>
      <c r="Q93" s="185"/>
    </row>
    <row r="94" spans="2:17" x14ac:dyDescent="0.15">
      <c r="B94" s="185"/>
      <c r="C94" s="185"/>
      <c r="D94" s="185"/>
      <c r="E94" s="185"/>
      <c r="F94" s="185"/>
      <c r="G94" s="185"/>
      <c r="H94" s="185"/>
      <c r="I94" s="185"/>
      <c r="J94" s="185"/>
      <c r="K94" s="185"/>
      <c r="L94" s="185"/>
      <c r="M94" s="185"/>
      <c r="N94" s="185"/>
      <c r="O94" s="185"/>
      <c r="P94" s="185"/>
      <c r="Q94" s="185"/>
    </row>
  </sheetData>
  <mergeCells count="111">
    <mergeCell ref="A22:A23"/>
    <mergeCell ref="B22:C23"/>
    <mergeCell ref="D22:D23"/>
    <mergeCell ref="E22:F22"/>
    <mergeCell ref="G22:G23"/>
    <mergeCell ref="A1:P1"/>
    <mergeCell ref="B3:L4"/>
    <mergeCell ref="B7:D7"/>
    <mergeCell ref="N11:P11"/>
    <mergeCell ref="N12:P12"/>
    <mergeCell ref="B17:D17"/>
    <mergeCell ref="E17:G17"/>
    <mergeCell ref="H17:I18"/>
    <mergeCell ref="J17:J18"/>
    <mergeCell ref="K17:L17"/>
    <mergeCell ref="H22:I23"/>
    <mergeCell ref="J22:J23"/>
    <mergeCell ref="K22:K23"/>
    <mergeCell ref="L22:L23"/>
    <mergeCell ref="M22:M23"/>
    <mergeCell ref="O22:P23"/>
    <mergeCell ref="E18:F18"/>
    <mergeCell ref="K18:L18"/>
    <mergeCell ref="E19:F19"/>
    <mergeCell ref="H19:I19"/>
    <mergeCell ref="K19:L19"/>
    <mergeCell ref="B26:C26"/>
    <mergeCell ref="H26:I26"/>
    <mergeCell ref="O26:P26"/>
    <mergeCell ref="B27:C27"/>
    <mergeCell ref="H27:I27"/>
    <mergeCell ref="O27:P27"/>
    <mergeCell ref="B24:C24"/>
    <mergeCell ref="H24:I24"/>
    <mergeCell ref="O24:P24"/>
    <mergeCell ref="B25:C25"/>
    <mergeCell ref="H25:I25"/>
    <mergeCell ref="O25:P25"/>
    <mergeCell ref="B30:C30"/>
    <mergeCell ref="H30:I30"/>
    <mergeCell ref="O30:P30"/>
    <mergeCell ref="A31:D31"/>
    <mergeCell ref="O31:P31"/>
    <mergeCell ref="E37:Q37"/>
    <mergeCell ref="B28:C28"/>
    <mergeCell ref="H28:I28"/>
    <mergeCell ref="O28:P28"/>
    <mergeCell ref="B29:C29"/>
    <mergeCell ref="H29:I29"/>
    <mergeCell ref="O29:P29"/>
    <mergeCell ref="D44:H44"/>
    <mergeCell ref="D45:H45"/>
    <mergeCell ref="D46:H46"/>
    <mergeCell ref="D47:G47"/>
    <mergeCell ref="E48:G48"/>
    <mergeCell ref="N51:P51"/>
    <mergeCell ref="E39:F39"/>
    <mergeCell ref="G39:I39"/>
    <mergeCell ref="K39:P39"/>
    <mergeCell ref="A41:P41"/>
    <mergeCell ref="D42:H42"/>
    <mergeCell ref="D43:H43"/>
    <mergeCell ref="A62:A63"/>
    <mergeCell ref="B62:C63"/>
    <mergeCell ref="D62:D63"/>
    <mergeCell ref="E62:F62"/>
    <mergeCell ref="G62:G63"/>
    <mergeCell ref="H62:I63"/>
    <mergeCell ref="J62:J63"/>
    <mergeCell ref="N52:P52"/>
    <mergeCell ref="B57:D57"/>
    <mergeCell ref="E57:G57"/>
    <mergeCell ref="H57:I58"/>
    <mergeCell ref="J57:J58"/>
    <mergeCell ref="K57:L57"/>
    <mergeCell ref="E58:F58"/>
    <mergeCell ref="K58:L58"/>
    <mergeCell ref="K62:K63"/>
    <mergeCell ref="L62:L63"/>
    <mergeCell ref="M62:M63"/>
    <mergeCell ref="O62:P63"/>
    <mergeCell ref="B64:C64"/>
    <mergeCell ref="H64:I64"/>
    <mergeCell ref="O64:P64"/>
    <mergeCell ref="E59:F59"/>
    <mergeCell ref="H59:I59"/>
    <mergeCell ref="K59:L59"/>
    <mergeCell ref="B67:C67"/>
    <mergeCell ref="H67:I67"/>
    <mergeCell ref="O67:P67"/>
    <mergeCell ref="B68:C68"/>
    <mergeCell ref="H68:I68"/>
    <mergeCell ref="O68:P68"/>
    <mergeCell ref="B65:C65"/>
    <mergeCell ref="H65:I65"/>
    <mergeCell ref="O65:P65"/>
    <mergeCell ref="B66:C66"/>
    <mergeCell ref="H66:I66"/>
    <mergeCell ref="O66:P66"/>
    <mergeCell ref="A71:D71"/>
    <mergeCell ref="O71:P71"/>
    <mergeCell ref="E77:Q77"/>
    <mergeCell ref="E79:F79"/>
    <mergeCell ref="G79:I79"/>
    <mergeCell ref="K79:P79"/>
    <mergeCell ref="B69:C69"/>
    <mergeCell ref="H69:I69"/>
    <mergeCell ref="O69:P69"/>
    <mergeCell ref="B70:C70"/>
    <mergeCell ref="H70:I70"/>
    <mergeCell ref="O70:P70"/>
  </mergeCells>
  <phoneticPr fontId="3"/>
  <pageMargins left="0.78740157480314965" right="0.39370078740157483" top="0.19685039370078741" bottom="0.19685039370078741" header="0.51181102362204722" footer="0.19685039370078741"/>
  <pageSetup paperSize="9" orientation="landscape" r:id="rId1"/>
  <headerFooter alignWithMargins="0"/>
  <rowBreaks count="1" manualBreakCount="1">
    <brk id="40"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61A8C-9F69-466A-AF3E-EEB6F3D8CE62}">
  <sheetPr codeName="Sheet10"/>
  <dimension ref="A1:AI53"/>
  <sheetViews>
    <sheetView zoomScaleNormal="100" workbookViewId="0">
      <selection activeCell="AF23" sqref="AF23"/>
    </sheetView>
  </sheetViews>
  <sheetFormatPr defaultRowHeight="13.5" x14ac:dyDescent="0.15"/>
  <cols>
    <col min="1" max="1" width="3.625" style="3" customWidth="1"/>
    <col min="2" max="3" width="12.625" style="3" customWidth="1"/>
    <col min="4" max="4" width="7.625" style="3" customWidth="1"/>
    <col min="5" max="5" width="5.25" style="3" customWidth="1"/>
    <col min="6" max="6" width="8.125" style="3" customWidth="1"/>
    <col min="7" max="7" width="1.625" style="3" customWidth="1"/>
    <col min="8" max="8" width="5.625" style="3" customWidth="1"/>
    <col min="9" max="9" width="1.625" style="3" customWidth="1"/>
    <col min="10" max="10" width="5.625" style="3" customWidth="1"/>
    <col min="11" max="11" width="1.625" style="3" customWidth="1"/>
    <col min="12" max="12" width="8.625" style="3" customWidth="1"/>
    <col min="13" max="15" width="0" style="3" hidden="1" customWidth="1"/>
    <col min="16" max="16" width="12.25" style="3" customWidth="1"/>
    <col min="17" max="17" width="6.625" style="3" customWidth="1"/>
    <col min="18" max="18" width="9.625" style="3" customWidth="1"/>
    <col min="19" max="20" width="7.625" style="3" customWidth="1"/>
    <col min="21" max="21" width="6.625" style="3" customWidth="1"/>
    <col min="22" max="22" width="14.625" style="3" customWidth="1"/>
    <col min="23" max="23" width="13.625" style="3" customWidth="1"/>
    <col min="24" max="24" width="9.625" style="3" hidden="1" customWidth="1"/>
    <col min="25" max="25" width="16.625" style="3" customWidth="1"/>
    <col min="26" max="26" width="3.625" style="3" customWidth="1"/>
    <col min="27" max="27" width="5.625" style="3" customWidth="1"/>
    <col min="28" max="28" width="6.625" style="3" customWidth="1"/>
    <col min="29" max="256" width="9" style="3"/>
    <col min="257" max="257" width="3.625" style="3" customWidth="1"/>
    <col min="258" max="259" width="12.625" style="3" customWidth="1"/>
    <col min="260" max="260" width="7.625" style="3" customWidth="1"/>
    <col min="261" max="261" width="5.25" style="3" customWidth="1"/>
    <col min="262" max="262" width="8.125" style="3" customWidth="1"/>
    <col min="263" max="263" width="1.625" style="3" customWidth="1"/>
    <col min="264" max="264" width="5.625" style="3" customWidth="1"/>
    <col min="265" max="265" width="1.625" style="3" customWidth="1"/>
    <col min="266" max="266" width="5.625" style="3" customWidth="1"/>
    <col min="267" max="267" width="1.625" style="3" customWidth="1"/>
    <col min="268" max="268" width="8.625" style="3" customWidth="1"/>
    <col min="269" max="271" width="0" style="3" hidden="1" customWidth="1"/>
    <col min="272" max="272" width="12.25" style="3" customWidth="1"/>
    <col min="273" max="273" width="6.625" style="3" customWidth="1"/>
    <col min="274" max="274" width="9.625" style="3" customWidth="1"/>
    <col min="275" max="276" width="7.625" style="3" customWidth="1"/>
    <col min="277" max="277" width="6.625" style="3" customWidth="1"/>
    <col min="278" max="278" width="14.625" style="3" customWidth="1"/>
    <col min="279" max="279" width="13.625" style="3" customWidth="1"/>
    <col min="280" max="280" width="0" style="3" hidden="1" customWidth="1"/>
    <col min="281" max="281" width="16.625" style="3" customWidth="1"/>
    <col min="282" max="282" width="3.625" style="3" customWidth="1"/>
    <col min="283" max="283" width="5.625" style="3" customWidth="1"/>
    <col min="284" max="284" width="6.625" style="3" customWidth="1"/>
    <col min="285" max="512" width="9" style="3"/>
    <col min="513" max="513" width="3.625" style="3" customWidth="1"/>
    <col min="514" max="515" width="12.625" style="3" customWidth="1"/>
    <col min="516" max="516" width="7.625" style="3" customWidth="1"/>
    <col min="517" max="517" width="5.25" style="3" customWidth="1"/>
    <col min="518" max="518" width="8.125" style="3" customWidth="1"/>
    <col min="519" max="519" width="1.625" style="3" customWidth="1"/>
    <col min="520" max="520" width="5.625" style="3" customWidth="1"/>
    <col min="521" max="521" width="1.625" style="3" customWidth="1"/>
    <col min="522" max="522" width="5.625" style="3" customWidth="1"/>
    <col min="523" max="523" width="1.625" style="3" customWidth="1"/>
    <col min="524" max="524" width="8.625" style="3" customWidth="1"/>
    <col min="525" max="527" width="0" style="3" hidden="1" customWidth="1"/>
    <col min="528" max="528" width="12.25" style="3" customWidth="1"/>
    <col min="529" max="529" width="6.625" style="3" customWidth="1"/>
    <col min="530" max="530" width="9.625" style="3" customWidth="1"/>
    <col min="531" max="532" width="7.625" style="3" customWidth="1"/>
    <col min="533" max="533" width="6.625" style="3" customWidth="1"/>
    <col min="534" max="534" width="14.625" style="3" customWidth="1"/>
    <col min="535" max="535" width="13.625" style="3" customWidth="1"/>
    <col min="536" max="536" width="0" style="3" hidden="1" customWidth="1"/>
    <col min="537" max="537" width="16.625" style="3" customWidth="1"/>
    <col min="538" max="538" width="3.625" style="3" customWidth="1"/>
    <col min="539" max="539" width="5.625" style="3" customWidth="1"/>
    <col min="540" max="540" width="6.625" style="3" customWidth="1"/>
    <col min="541" max="768" width="9" style="3"/>
    <col min="769" max="769" width="3.625" style="3" customWidth="1"/>
    <col min="770" max="771" width="12.625" style="3" customWidth="1"/>
    <col min="772" max="772" width="7.625" style="3" customWidth="1"/>
    <col min="773" max="773" width="5.25" style="3" customWidth="1"/>
    <col min="774" max="774" width="8.125" style="3" customWidth="1"/>
    <col min="775" max="775" width="1.625" style="3" customWidth="1"/>
    <col min="776" max="776" width="5.625" style="3" customWidth="1"/>
    <col min="777" max="777" width="1.625" style="3" customWidth="1"/>
    <col min="778" max="778" width="5.625" style="3" customWidth="1"/>
    <col min="779" max="779" width="1.625" style="3" customWidth="1"/>
    <col min="780" max="780" width="8.625" style="3" customWidth="1"/>
    <col min="781" max="783" width="0" style="3" hidden="1" customWidth="1"/>
    <col min="784" max="784" width="12.25" style="3" customWidth="1"/>
    <col min="785" max="785" width="6.625" style="3" customWidth="1"/>
    <col min="786" max="786" width="9.625" style="3" customWidth="1"/>
    <col min="787" max="788" width="7.625" style="3" customWidth="1"/>
    <col min="789" max="789" width="6.625" style="3" customWidth="1"/>
    <col min="790" max="790" width="14.625" style="3" customWidth="1"/>
    <col min="791" max="791" width="13.625" style="3" customWidth="1"/>
    <col min="792" max="792" width="0" style="3" hidden="1" customWidth="1"/>
    <col min="793" max="793" width="16.625" style="3" customWidth="1"/>
    <col min="794" max="794" width="3.625" style="3" customWidth="1"/>
    <col min="795" max="795" width="5.625" style="3" customWidth="1"/>
    <col min="796" max="796" width="6.625" style="3" customWidth="1"/>
    <col min="797" max="1024" width="9" style="3"/>
    <col min="1025" max="1025" width="3.625" style="3" customWidth="1"/>
    <col min="1026" max="1027" width="12.625" style="3" customWidth="1"/>
    <col min="1028" max="1028" width="7.625" style="3" customWidth="1"/>
    <col min="1029" max="1029" width="5.25" style="3" customWidth="1"/>
    <col min="1030" max="1030" width="8.125" style="3" customWidth="1"/>
    <col min="1031" max="1031" width="1.625" style="3" customWidth="1"/>
    <col min="1032" max="1032" width="5.625" style="3" customWidth="1"/>
    <col min="1033" max="1033" width="1.625" style="3" customWidth="1"/>
    <col min="1034" max="1034" width="5.625" style="3" customWidth="1"/>
    <col min="1035" max="1035" width="1.625" style="3" customWidth="1"/>
    <col min="1036" max="1036" width="8.625" style="3" customWidth="1"/>
    <col min="1037" max="1039" width="0" style="3" hidden="1" customWidth="1"/>
    <col min="1040" max="1040" width="12.25" style="3" customWidth="1"/>
    <col min="1041" max="1041" width="6.625" style="3" customWidth="1"/>
    <col min="1042" max="1042" width="9.625" style="3" customWidth="1"/>
    <col min="1043" max="1044" width="7.625" style="3" customWidth="1"/>
    <col min="1045" max="1045" width="6.625" style="3" customWidth="1"/>
    <col min="1046" max="1046" width="14.625" style="3" customWidth="1"/>
    <col min="1047" max="1047" width="13.625" style="3" customWidth="1"/>
    <col min="1048" max="1048" width="0" style="3" hidden="1" customWidth="1"/>
    <col min="1049" max="1049" width="16.625" style="3" customWidth="1"/>
    <col min="1050" max="1050" width="3.625" style="3" customWidth="1"/>
    <col min="1051" max="1051" width="5.625" style="3" customWidth="1"/>
    <col min="1052" max="1052" width="6.625" style="3" customWidth="1"/>
    <col min="1053" max="1280" width="9" style="3"/>
    <col min="1281" max="1281" width="3.625" style="3" customWidth="1"/>
    <col min="1282" max="1283" width="12.625" style="3" customWidth="1"/>
    <col min="1284" max="1284" width="7.625" style="3" customWidth="1"/>
    <col min="1285" max="1285" width="5.25" style="3" customWidth="1"/>
    <col min="1286" max="1286" width="8.125" style="3" customWidth="1"/>
    <col min="1287" max="1287" width="1.625" style="3" customWidth="1"/>
    <col min="1288" max="1288" width="5.625" style="3" customWidth="1"/>
    <col min="1289" max="1289" width="1.625" style="3" customWidth="1"/>
    <col min="1290" max="1290" width="5.625" style="3" customWidth="1"/>
    <col min="1291" max="1291" width="1.625" style="3" customWidth="1"/>
    <col min="1292" max="1292" width="8.625" style="3" customWidth="1"/>
    <col min="1293" max="1295" width="0" style="3" hidden="1" customWidth="1"/>
    <col min="1296" max="1296" width="12.25" style="3" customWidth="1"/>
    <col min="1297" max="1297" width="6.625" style="3" customWidth="1"/>
    <col min="1298" max="1298" width="9.625" style="3" customWidth="1"/>
    <col min="1299" max="1300" width="7.625" style="3" customWidth="1"/>
    <col min="1301" max="1301" width="6.625" style="3" customWidth="1"/>
    <col min="1302" max="1302" width="14.625" style="3" customWidth="1"/>
    <col min="1303" max="1303" width="13.625" style="3" customWidth="1"/>
    <col min="1304" max="1304" width="0" style="3" hidden="1" customWidth="1"/>
    <col min="1305" max="1305" width="16.625" style="3" customWidth="1"/>
    <col min="1306" max="1306" width="3.625" style="3" customWidth="1"/>
    <col min="1307" max="1307" width="5.625" style="3" customWidth="1"/>
    <col min="1308" max="1308" width="6.625" style="3" customWidth="1"/>
    <col min="1309" max="1536" width="9" style="3"/>
    <col min="1537" max="1537" width="3.625" style="3" customWidth="1"/>
    <col min="1538" max="1539" width="12.625" style="3" customWidth="1"/>
    <col min="1540" max="1540" width="7.625" style="3" customWidth="1"/>
    <col min="1541" max="1541" width="5.25" style="3" customWidth="1"/>
    <col min="1542" max="1542" width="8.125" style="3" customWidth="1"/>
    <col min="1543" max="1543" width="1.625" style="3" customWidth="1"/>
    <col min="1544" max="1544" width="5.625" style="3" customWidth="1"/>
    <col min="1545" max="1545" width="1.625" style="3" customWidth="1"/>
    <col min="1546" max="1546" width="5.625" style="3" customWidth="1"/>
    <col min="1547" max="1547" width="1.625" style="3" customWidth="1"/>
    <col min="1548" max="1548" width="8.625" style="3" customWidth="1"/>
    <col min="1549" max="1551" width="0" style="3" hidden="1" customWidth="1"/>
    <col min="1552" max="1552" width="12.25" style="3" customWidth="1"/>
    <col min="1553" max="1553" width="6.625" style="3" customWidth="1"/>
    <col min="1554" max="1554" width="9.625" style="3" customWidth="1"/>
    <col min="1555" max="1556" width="7.625" style="3" customWidth="1"/>
    <col min="1557" max="1557" width="6.625" style="3" customWidth="1"/>
    <col min="1558" max="1558" width="14.625" style="3" customWidth="1"/>
    <col min="1559" max="1559" width="13.625" style="3" customWidth="1"/>
    <col min="1560" max="1560" width="0" style="3" hidden="1" customWidth="1"/>
    <col min="1561" max="1561" width="16.625" style="3" customWidth="1"/>
    <col min="1562" max="1562" width="3.625" style="3" customWidth="1"/>
    <col min="1563" max="1563" width="5.625" style="3" customWidth="1"/>
    <col min="1564" max="1564" width="6.625" style="3" customWidth="1"/>
    <col min="1565" max="1792" width="9" style="3"/>
    <col min="1793" max="1793" width="3.625" style="3" customWidth="1"/>
    <col min="1794" max="1795" width="12.625" style="3" customWidth="1"/>
    <col min="1796" max="1796" width="7.625" style="3" customWidth="1"/>
    <col min="1797" max="1797" width="5.25" style="3" customWidth="1"/>
    <col min="1798" max="1798" width="8.125" style="3" customWidth="1"/>
    <col min="1799" max="1799" width="1.625" style="3" customWidth="1"/>
    <col min="1800" max="1800" width="5.625" style="3" customWidth="1"/>
    <col min="1801" max="1801" width="1.625" style="3" customWidth="1"/>
    <col min="1802" max="1802" width="5.625" style="3" customWidth="1"/>
    <col min="1803" max="1803" width="1.625" style="3" customWidth="1"/>
    <col min="1804" max="1804" width="8.625" style="3" customWidth="1"/>
    <col min="1805" max="1807" width="0" style="3" hidden="1" customWidth="1"/>
    <col min="1808" max="1808" width="12.25" style="3" customWidth="1"/>
    <col min="1809" max="1809" width="6.625" style="3" customWidth="1"/>
    <col min="1810" max="1810" width="9.625" style="3" customWidth="1"/>
    <col min="1811" max="1812" width="7.625" style="3" customWidth="1"/>
    <col min="1813" max="1813" width="6.625" style="3" customWidth="1"/>
    <col min="1814" max="1814" width="14.625" style="3" customWidth="1"/>
    <col min="1815" max="1815" width="13.625" style="3" customWidth="1"/>
    <col min="1816" max="1816" width="0" style="3" hidden="1" customWidth="1"/>
    <col min="1817" max="1817" width="16.625" style="3" customWidth="1"/>
    <col min="1818" max="1818" width="3.625" style="3" customWidth="1"/>
    <col min="1819" max="1819" width="5.625" style="3" customWidth="1"/>
    <col min="1820" max="1820" width="6.625" style="3" customWidth="1"/>
    <col min="1821" max="2048" width="9" style="3"/>
    <col min="2049" max="2049" width="3.625" style="3" customWidth="1"/>
    <col min="2050" max="2051" width="12.625" style="3" customWidth="1"/>
    <col min="2052" max="2052" width="7.625" style="3" customWidth="1"/>
    <col min="2053" max="2053" width="5.25" style="3" customWidth="1"/>
    <col min="2054" max="2054" width="8.125" style="3" customWidth="1"/>
    <col min="2055" max="2055" width="1.625" style="3" customWidth="1"/>
    <col min="2056" max="2056" width="5.625" style="3" customWidth="1"/>
    <col min="2057" max="2057" width="1.625" style="3" customWidth="1"/>
    <col min="2058" max="2058" width="5.625" style="3" customWidth="1"/>
    <col min="2059" max="2059" width="1.625" style="3" customWidth="1"/>
    <col min="2060" max="2060" width="8.625" style="3" customWidth="1"/>
    <col min="2061" max="2063" width="0" style="3" hidden="1" customWidth="1"/>
    <col min="2064" max="2064" width="12.25" style="3" customWidth="1"/>
    <col min="2065" max="2065" width="6.625" style="3" customWidth="1"/>
    <col min="2066" max="2066" width="9.625" style="3" customWidth="1"/>
    <col min="2067" max="2068" width="7.625" style="3" customWidth="1"/>
    <col min="2069" max="2069" width="6.625" style="3" customWidth="1"/>
    <col min="2070" max="2070" width="14.625" style="3" customWidth="1"/>
    <col min="2071" max="2071" width="13.625" style="3" customWidth="1"/>
    <col min="2072" max="2072" width="0" style="3" hidden="1" customWidth="1"/>
    <col min="2073" max="2073" width="16.625" style="3" customWidth="1"/>
    <col min="2074" max="2074" width="3.625" style="3" customWidth="1"/>
    <col min="2075" max="2075" width="5.625" style="3" customWidth="1"/>
    <col min="2076" max="2076" width="6.625" style="3" customWidth="1"/>
    <col min="2077" max="2304" width="9" style="3"/>
    <col min="2305" max="2305" width="3.625" style="3" customWidth="1"/>
    <col min="2306" max="2307" width="12.625" style="3" customWidth="1"/>
    <col min="2308" max="2308" width="7.625" style="3" customWidth="1"/>
    <col min="2309" max="2309" width="5.25" style="3" customWidth="1"/>
    <col min="2310" max="2310" width="8.125" style="3" customWidth="1"/>
    <col min="2311" max="2311" width="1.625" style="3" customWidth="1"/>
    <col min="2312" max="2312" width="5.625" style="3" customWidth="1"/>
    <col min="2313" max="2313" width="1.625" style="3" customWidth="1"/>
    <col min="2314" max="2314" width="5.625" style="3" customWidth="1"/>
    <col min="2315" max="2315" width="1.625" style="3" customWidth="1"/>
    <col min="2316" max="2316" width="8.625" style="3" customWidth="1"/>
    <col min="2317" max="2319" width="0" style="3" hidden="1" customWidth="1"/>
    <col min="2320" max="2320" width="12.25" style="3" customWidth="1"/>
    <col min="2321" max="2321" width="6.625" style="3" customWidth="1"/>
    <col min="2322" max="2322" width="9.625" style="3" customWidth="1"/>
    <col min="2323" max="2324" width="7.625" style="3" customWidth="1"/>
    <col min="2325" max="2325" width="6.625" style="3" customWidth="1"/>
    <col min="2326" max="2326" width="14.625" style="3" customWidth="1"/>
    <col min="2327" max="2327" width="13.625" style="3" customWidth="1"/>
    <col min="2328" max="2328" width="0" style="3" hidden="1" customWidth="1"/>
    <col min="2329" max="2329" width="16.625" style="3" customWidth="1"/>
    <col min="2330" max="2330" width="3.625" style="3" customWidth="1"/>
    <col min="2331" max="2331" width="5.625" style="3" customWidth="1"/>
    <col min="2332" max="2332" width="6.625" style="3" customWidth="1"/>
    <col min="2333" max="2560" width="9" style="3"/>
    <col min="2561" max="2561" width="3.625" style="3" customWidth="1"/>
    <col min="2562" max="2563" width="12.625" style="3" customWidth="1"/>
    <col min="2564" max="2564" width="7.625" style="3" customWidth="1"/>
    <col min="2565" max="2565" width="5.25" style="3" customWidth="1"/>
    <col min="2566" max="2566" width="8.125" style="3" customWidth="1"/>
    <col min="2567" max="2567" width="1.625" style="3" customWidth="1"/>
    <col min="2568" max="2568" width="5.625" style="3" customWidth="1"/>
    <col min="2569" max="2569" width="1.625" style="3" customWidth="1"/>
    <col min="2570" max="2570" width="5.625" style="3" customWidth="1"/>
    <col min="2571" max="2571" width="1.625" style="3" customWidth="1"/>
    <col min="2572" max="2572" width="8.625" style="3" customWidth="1"/>
    <col min="2573" max="2575" width="0" style="3" hidden="1" customWidth="1"/>
    <col min="2576" max="2576" width="12.25" style="3" customWidth="1"/>
    <col min="2577" max="2577" width="6.625" style="3" customWidth="1"/>
    <col min="2578" max="2578" width="9.625" style="3" customWidth="1"/>
    <col min="2579" max="2580" width="7.625" style="3" customWidth="1"/>
    <col min="2581" max="2581" width="6.625" style="3" customWidth="1"/>
    <col min="2582" max="2582" width="14.625" style="3" customWidth="1"/>
    <col min="2583" max="2583" width="13.625" style="3" customWidth="1"/>
    <col min="2584" max="2584" width="0" style="3" hidden="1" customWidth="1"/>
    <col min="2585" max="2585" width="16.625" style="3" customWidth="1"/>
    <col min="2586" max="2586" width="3.625" style="3" customWidth="1"/>
    <col min="2587" max="2587" width="5.625" style="3" customWidth="1"/>
    <col min="2588" max="2588" width="6.625" style="3" customWidth="1"/>
    <col min="2589" max="2816" width="9" style="3"/>
    <col min="2817" max="2817" width="3.625" style="3" customWidth="1"/>
    <col min="2818" max="2819" width="12.625" style="3" customWidth="1"/>
    <col min="2820" max="2820" width="7.625" style="3" customWidth="1"/>
    <col min="2821" max="2821" width="5.25" style="3" customWidth="1"/>
    <col min="2822" max="2822" width="8.125" style="3" customWidth="1"/>
    <col min="2823" max="2823" width="1.625" style="3" customWidth="1"/>
    <col min="2824" max="2824" width="5.625" style="3" customWidth="1"/>
    <col min="2825" max="2825" width="1.625" style="3" customWidth="1"/>
    <col min="2826" max="2826" width="5.625" style="3" customWidth="1"/>
    <col min="2827" max="2827" width="1.625" style="3" customWidth="1"/>
    <col min="2828" max="2828" width="8.625" style="3" customWidth="1"/>
    <col min="2829" max="2831" width="0" style="3" hidden="1" customWidth="1"/>
    <col min="2832" max="2832" width="12.25" style="3" customWidth="1"/>
    <col min="2833" max="2833" width="6.625" style="3" customWidth="1"/>
    <col min="2834" max="2834" width="9.625" style="3" customWidth="1"/>
    <col min="2835" max="2836" width="7.625" style="3" customWidth="1"/>
    <col min="2837" max="2837" width="6.625" style="3" customWidth="1"/>
    <col min="2838" max="2838" width="14.625" style="3" customWidth="1"/>
    <col min="2839" max="2839" width="13.625" style="3" customWidth="1"/>
    <col min="2840" max="2840" width="0" style="3" hidden="1" customWidth="1"/>
    <col min="2841" max="2841" width="16.625" style="3" customWidth="1"/>
    <col min="2842" max="2842" width="3.625" style="3" customWidth="1"/>
    <col min="2843" max="2843" width="5.625" style="3" customWidth="1"/>
    <col min="2844" max="2844" width="6.625" style="3" customWidth="1"/>
    <col min="2845" max="3072" width="9" style="3"/>
    <col min="3073" max="3073" width="3.625" style="3" customWidth="1"/>
    <col min="3074" max="3075" width="12.625" style="3" customWidth="1"/>
    <col min="3076" max="3076" width="7.625" style="3" customWidth="1"/>
    <col min="3077" max="3077" width="5.25" style="3" customWidth="1"/>
    <col min="3078" max="3078" width="8.125" style="3" customWidth="1"/>
    <col min="3079" max="3079" width="1.625" style="3" customWidth="1"/>
    <col min="3080" max="3080" width="5.625" style="3" customWidth="1"/>
    <col min="3081" max="3081" width="1.625" style="3" customWidth="1"/>
    <col min="3082" max="3082" width="5.625" style="3" customWidth="1"/>
    <col min="3083" max="3083" width="1.625" style="3" customWidth="1"/>
    <col min="3084" max="3084" width="8.625" style="3" customWidth="1"/>
    <col min="3085" max="3087" width="0" style="3" hidden="1" customWidth="1"/>
    <col min="3088" max="3088" width="12.25" style="3" customWidth="1"/>
    <col min="3089" max="3089" width="6.625" style="3" customWidth="1"/>
    <col min="3090" max="3090" width="9.625" style="3" customWidth="1"/>
    <col min="3091" max="3092" width="7.625" style="3" customWidth="1"/>
    <col min="3093" max="3093" width="6.625" style="3" customWidth="1"/>
    <col min="3094" max="3094" width="14.625" style="3" customWidth="1"/>
    <col min="3095" max="3095" width="13.625" style="3" customWidth="1"/>
    <col min="3096" max="3096" width="0" style="3" hidden="1" customWidth="1"/>
    <col min="3097" max="3097" width="16.625" style="3" customWidth="1"/>
    <col min="3098" max="3098" width="3.625" style="3" customWidth="1"/>
    <col min="3099" max="3099" width="5.625" style="3" customWidth="1"/>
    <col min="3100" max="3100" width="6.625" style="3" customWidth="1"/>
    <col min="3101" max="3328" width="9" style="3"/>
    <col min="3329" max="3329" width="3.625" style="3" customWidth="1"/>
    <col min="3330" max="3331" width="12.625" style="3" customWidth="1"/>
    <col min="3332" max="3332" width="7.625" style="3" customWidth="1"/>
    <col min="3333" max="3333" width="5.25" style="3" customWidth="1"/>
    <col min="3334" max="3334" width="8.125" style="3" customWidth="1"/>
    <col min="3335" max="3335" width="1.625" style="3" customWidth="1"/>
    <col min="3336" max="3336" width="5.625" style="3" customWidth="1"/>
    <col min="3337" max="3337" width="1.625" style="3" customWidth="1"/>
    <col min="3338" max="3338" width="5.625" style="3" customWidth="1"/>
    <col min="3339" max="3339" width="1.625" style="3" customWidth="1"/>
    <col min="3340" max="3340" width="8.625" style="3" customWidth="1"/>
    <col min="3341" max="3343" width="0" style="3" hidden="1" customWidth="1"/>
    <col min="3344" max="3344" width="12.25" style="3" customWidth="1"/>
    <col min="3345" max="3345" width="6.625" style="3" customWidth="1"/>
    <col min="3346" max="3346" width="9.625" style="3" customWidth="1"/>
    <col min="3347" max="3348" width="7.625" style="3" customWidth="1"/>
    <col min="3349" max="3349" width="6.625" style="3" customWidth="1"/>
    <col min="3350" max="3350" width="14.625" style="3" customWidth="1"/>
    <col min="3351" max="3351" width="13.625" style="3" customWidth="1"/>
    <col min="3352" max="3352" width="0" style="3" hidden="1" customWidth="1"/>
    <col min="3353" max="3353" width="16.625" style="3" customWidth="1"/>
    <col min="3354" max="3354" width="3.625" style="3" customWidth="1"/>
    <col min="3355" max="3355" width="5.625" style="3" customWidth="1"/>
    <col min="3356" max="3356" width="6.625" style="3" customWidth="1"/>
    <col min="3357" max="3584" width="9" style="3"/>
    <col min="3585" max="3585" width="3.625" style="3" customWidth="1"/>
    <col min="3586" max="3587" width="12.625" style="3" customWidth="1"/>
    <col min="3588" max="3588" width="7.625" style="3" customWidth="1"/>
    <col min="3589" max="3589" width="5.25" style="3" customWidth="1"/>
    <col min="3590" max="3590" width="8.125" style="3" customWidth="1"/>
    <col min="3591" max="3591" width="1.625" style="3" customWidth="1"/>
    <col min="3592" max="3592" width="5.625" style="3" customWidth="1"/>
    <col min="3593" max="3593" width="1.625" style="3" customWidth="1"/>
    <col min="3594" max="3594" width="5.625" style="3" customWidth="1"/>
    <col min="3595" max="3595" width="1.625" style="3" customWidth="1"/>
    <col min="3596" max="3596" width="8.625" style="3" customWidth="1"/>
    <col min="3597" max="3599" width="0" style="3" hidden="1" customWidth="1"/>
    <col min="3600" max="3600" width="12.25" style="3" customWidth="1"/>
    <col min="3601" max="3601" width="6.625" style="3" customWidth="1"/>
    <col min="3602" max="3602" width="9.625" style="3" customWidth="1"/>
    <col min="3603" max="3604" width="7.625" style="3" customWidth="1"/>
    <col min="3605" max="3605" width="6.625" style="3" customWidth="1"/>
    <col min="3606" max="3606" width="14.625" style="3" customWidth="1"/>
    <col min="3607" max="3607" width="13.625" style="3" customWidth="1"/>
    <col min="3608" max="3608" width="0" style="3" hidden="1" customWidth="1"/>
    <col min="3609" max="3609" width="16.625" style="3" customWidth="1"/>
    <col min="3610" max="3610" width="3.625" style="3" customWidth="1"/>
    <col min="3611" max="3611" width="5.625" style="3" customWidth="1"/>
    <col min="3612" max="3612" width="6.625" style="3" customWidth="1"/>
    <col min="3613" max="3840" width="9" style="3"/>
    <col min="3841" max="3841" width="3.625" style="3" customWidth="1"/>
    <col min="3842" max="3843" width="12.625" style="3" customWidth="1"/>
    <col min="3844" max="3844" width="7.625" style="3" customWidth="1"/>
    <col min="3845" max="3845" width="5.25" style="3" customWidth="1"/>
    <col min="3846" max="3846" width="8.125" style="3" customWidth="1"/>
    <col min="3847" max="3847" width="1.625" style="3" customWidth="1"/>
    <col min="3848" max="3848" width="5.625" style="3" customWidth="1"/>
    <col min="3849" max="3849" width="1.625" style="3" customWidth="1"/>
    <col min="3850" max="3850" width="5.625" style="3" customWidth="1"/>
    <col min="3851" max="3851" width="1.625" style="3" customWidth="1"/>
    <col min="3852" max="3852" width="8.625" style="3" customWidth="1"/>
    <col min="3853" max="3855" width="0" style="3" hidden="1" customWidth="1"/>
    <col min="3856" max="3856" width="12.25" style="3" customWidth="1"/>
    <col min="3857" max="3857" width="6.625" style="3" customWidth="1"/>
    <col min="3858" max="3858" width="9.625" style="3" customWidth="1"/>
    <col min="3859" max="3860" width="7.625" style="3" customWidth="1"/>
    <col min="3861" max="3861" width="6.625" style="3" customWidth="1"/>
    <col min="3862" max="3862" width="14.625" style="3" customWidth="1"/>
    <col min="3863" max="3863" width="13.625" style="3" customWidth="1"/>
    <col min="3864" max="3864" width="0" style="3" hidden="1" customWidth="1"/>
    <col min="3865" max="3865" width="16.625" style="3" customWidth="1"/>
    <col min="3866" max="3866" width="3.625" style="3" customWidth="1"/>
    <col min="3867" max="3867" width="5.625" style="3" customWidth="1"/>
    <col min="3868" max="3868" width="6.625" style="3" customWidth="1"/>
    <col min="3869" max="4096" width="9" style="3"/>
    <col min="4097" max="4097" width="3.625" style="3" customWidth="1"/>
    <col min="4098" max="4099" width="12.625" style="3" customWidth="1"/>
    <col min="4100" max="4100" width="7.625" style="3" customWidth="1"/>
    <col min="4101" max="4101" width="5.25" style="3" customWidth="1"/>
    <col min="4102" max="4102" width="8.125" style="3" customWidth="1"/>
    <col min="4103" max="4103" width="1.625" style="3" customWidth="1"/>
    <col min="4104" max="4104" width="5.625" style="3" customWidth="1"/>
    <col min="4105" max="4105" width="1.625" style="3" customWidth="1"/>
    <col min="4106" max="4106" width="5.625" style="3" customWidth="1"/>
    <col min="4107" max="4107" width="1.625" style="3" customWidth="1"/>
    <col min="4108" max="4108" width="8.625" style="3" customWidth="1"/>
    <col min="4109" max="4111" width="0" style="3" hidden="1" customWidth="1"/>
    <col min="4112" max="4112" width="12.25" style="3" customWidth="1"/>
    <col min="4113" max="4113" width="6.625" style="3" customWidth="1"/>
    <col min="4114" max="4114" width="9.625" style="3" customWidth="1"/>
    <col min="4115" max="4116" width="7.625" style="3" customWidth="1"/>
    <col min="4117" max="4117" width="6.625" style="3" customWidth="1"/>
    <col min="4118" max="4118" width="14.625" style="3" customWidth="1"/>
    <col min="4119" max="4119" width="13.625" style="3" customWidth="1"/>
    <col min="4120" max="4120" width="0" style="3" hidden="1" customWidth="1"/>
    <col min="4121" max="4121" width="16.625" style="3" customWidth="1"/>
    <col min="4122" max="4122" width="3.625" style="3" customWidth="1"/>
    <col min="4123" max="4123" width="5.625" style="3" customWidth="1"/>
    <col min="4124" max="4124" width="6.625" style="3" customWidth="1"/>
    <col min="4125" max="4352" width="9" style="3"/>
    <col min="4353" max="4353" width="3.625" style="3" customWidth="1"/>
    <col min="4354" max="4355" width="12.625" style="3" customWidth="1"/>
    <col min="4356" max="4356" width="7.625" style="3" customWidth="1"/>
    <col min="4357" max="4357" width="5.25" style="3" customWidth="1"/>
    <col min="4358" max="4358" width="8.125" style="3" customWidth="1"/>
    <col min="4359" max="4359" width="1.625" style="3" customWidth="1"/>
    <col min="4360" max="4360" width="5.625" style="3" customWidth="1"/>
    <col min="4361" max="4361" width="1.625" style="3" customWidth="1"/>
    <col min="4362" max="4362" width="5.625" style="3" customWidth="1"/>
    <col min="4363" max="4363" width="1.625" style="3" customWidth="1"/>
    <col min="4364" max="4364" width="8.625" style="3" customWidth="1"/>
    <col min="4365" max="4367" width="0" style="3" hidden="1" customWidth="1"/>
    <col min="4368" max="4368" width="12.25" style="3" customWidth="1"/>
    <col min="4369" max="4369" width="6.625" style="3" customWidth="1"/>
    <col min="4370" max="4370" width="9.625" style="3" customWidth="1"/>
    <col min="4371" max="4372" width="7.625" style="3" customWidth="1"/>
    <col min="4373" max="4373" width="6.625" style="3" customWidth="1"/>
    <col min="4374" max="4374" width="14.625" style="3" customWidth="1"/>
    <col min="4375" max="4375" width="13.625" style="3" customWidth="1"/>
    <col min="4376" max="4376" width="0" style="3" hidden="1" customWidth="1"/>
    <col min="4377" max="4377" width="16.625" style="3" customWidth="1"/>
    <col min="4378" max="4378" width="3.625" style="3" customWidth="1"/>
    <col min="4379" max="4379" width="5.625" style="3" customWidth="1"/>
    <col min="4380" max="4380" width="6.625" style="3" customWidth="1"/>
    <col min="4381" max="4608" width="9" style="3"/>
    <col min="4609" max="4609" width="3.625" style="3" customWidth="1"/>
    <col min="4610" max="4611" width="12.625" style="3" customWidth="1"/>
    <col min="4612" max="4612" width="7.625" style="3" customWidth="1"/>
    <col min="4613" max="4613" width="5.25" style="3" customWidth="1"/>
    <col min="4614" max="4614" width="8.125" style="3" customWidth="1"/>
    <col min="4615" max="4615" width="1.625" style="3" customWidth="1"/>
    <col min="4616" max="4616" width="5.625" style="3" customWidth="1"/>
    <col min="4617" max="4617" width="1.625" style="3" customWidth="1"/>
    <col min="4618" max="4618" width="5.625" style="3" customWidth="1"/>
    <col min="4619" max="4619" width="1.625" style="3" customWidth="1"/>
    <col min="4620" max="4620" width="8.625" style="3" customWidth="1"/>
    <col min="4621" max="4623" width="0" style="3" hidden="1" customWidth="1"/>
    <col min="4624" max="4624" width="12.25" style="3" customWidth="1"/>
    <col min="4625" max="4625" width="6.625" style="3" customWidth="1"/>
    <col min="4626" max="4626" width="9.625" style="3" customWidth="1"/>
    <col min="4627" max="4628" width="7.625" style="3" customWidth="1"/>
    <col min="4629" max="4629" width="6.625" style="3" customWidth="1"/>
    <col min="4630" max="4630" width="14.625" style="3" customWidth="1"/>
    <col min="4631" max="4631" width="13.625" style="3" customWidth="1"/>
    <col min="4632" max="4632" width="0" style="3" hidden="1" customWidth="1"/>
    <col min="4633" max="4633" width="16.625" style="3" customWidth="1"/>
    <col min="4634" max="4634" width="3.625" style="3" customWidth="1"/>
    <col min="4635" max="4635" width="5.625" style="3" customWidth="1"/>
    <col min="4636" max="4636" width="6.625" style="3" customWidth="1"/>
    <col min="4637" max="4864" width="9" style="3"/>
    <col min="4865" max="4865" width="3.625" style="3" customWidth="1"/>
    <col min="4866" max="4867" width="12.625" style="3" customWidth="1"/>
    <col min="4868" max="4868" width="7.625" style="3" customWidth="1"/>
    <col min="4869" max="4869" width="5.25" style="3" customWidth="1"/>
    <col min="4870" max="4870" width="8.125" style="3" customWidth="1"/>
    <col min="4871" max="4871" width="1.625" style="3" customWidth="1"/>
    <col min="4872" max="4872" width="5.625" style="3" customWidth="1"/>
    <col min="4873" max="4873" width="1.625" style="3" customWidth="1"/>
    <col min="4874" max="4874" width="5.625" style="3" customWidth="1"/>
    <col min="4875" max="4875" width="1.625" style="3" customWidth="1"/>
    <col min="4876" max="4876" width="8.625" style="3" customWidth="1"/>
    <col min="4877" max="4879" width="0" style="3" hidden="1" customWidth="1"/>
    <col min="4880" max="4880" width="12.25" style="3" customWidth="1"/>
    <col min="4881" max="4881" width="6.625" style="3" customWidth="1"/>
    <col min="4882" max="4882" width="9.625" style="3" customWidth="1"/>
    <col min="4883" max="4884" width="7.625" style="3" customWidth="1"/>
    <col min="4885" max="4885" width="6.625" style="3" customWidth="1"/>
    <col min="4886" max="4886" width="14.625" style="3" customWidth="1"/>
    <col min="4887" max="4887" width="13.625" style="3" customWidth="1"/>
    <col min="4888" max="4888" width="0" style="3" hidden="1" customWidth="1"/>
    <col min="4889" max="4889" width="16.625" style="3" customWidth="1"/>
    <col min="4890" max="4890" width="3.625" style="3" customWidth="1"/>
    <col min="4891" max="4891" width="5.625" style="3" customWidth="1"/>
    <col min="4892" max="4892" width="6.625" style="3" customWidth="1"/>
    <col min="4893" max="5120" width="9" style="3"/>
    <col min="5121" max="5121" width="3.625" style="3" customWidth="1"/>
    <col min="5122" max="5123" width="12.625" style="3" customWidth="1"/>
    <col min="5124" max="5124" width="7.625" style="3" customWidth="1"/>
    <col min="5125" max="5125" width="5.25" style="3" customWidth="1"/>
    <col min="5126" max="5126" width="8.125" style="3" customWidth="1"/>
    <col min="5127" max="5127" width="1.625" style="3" customWidth="1"/>
    <col min="5128" max="5128" width="5.625" style="3" customWidth="1"/>
    <col min="5129" max="5129" width="1.625" style="3" customWidth="1"/>
    <col min="5130" max="5130" width="5.625" style="3" customWidth="1"/>
    <col min="5131" max="5131" width="1.625" style="3" customWidth="1"/>
    <col min="5132" max="5132" width="8.625" style="3" customWidth="1"/>
    <col min="5133" max="5135" width="0" style="3" hidden="1" customWidth="1"/>
    <col min="5136" max="5136" width="12.25" style="3" customWidth="1"/>
    <col min="5137" max="5137" width="6.625" style="3" customWidth="1"/>
    <col min="5138" max="5138" width="9.625" style="3" customWidth="1"/>
    <col min="5139" max="5140" width="7.625" style="3" customWidth="1"/>
    <col min="5141" max="5141" width="6.625" style="3" customWidth="1"/>
    <col min="5142" max="5142" width="14.625" style="3" customWidth="1"/>
    <col min="5143" max="5143" width="13.625" style="3" customWidth="1"/>
    <col min="5144" max="5144" width="0" style="3" hidden="1" customWidth="1"/>
    <col min="5145" max="5145" width="16.625" style="3" customWidth="1"/>
    <col min="5146" max="5146" width="3.625" style="3" customWidth="1"/>
    <col min="5147" max="5147" width="5.625" style="3" customWidth="1"/>
    <col min="5148" max="5148" width="6.625" style="3" customWidth="1"/>
    <col min="5149" max="5376" width="9" style="3"/>
    <col min="5377" max="5377" width="3.625" style="3" customWidth="1"/>
    <col min="5378" max="5379" width="12.625" style="3" customWidth="1"/>
    <col min="5380" max="5380" width="7.625" style="3" customWidth="1"/>
    <col min="5381" max="5381" width="5.25" style="3" customWidth="1"/>
    <col min="5382" max="5382" width="8.125" style="3" customWidth="1"/>
    <col min="5383" max="5383" width="1.625" style="3" customWidth="1"/>
    <col min="5384" max="5384" width="5.625" style="3" customWidth="1"/>
    <col min="5385" max="5385" width="1.625" style="3" customWidth="1"/>
    <col min="5386" max="5386" width="5.625" style="3" customWidth="1"/>
    <col min="5387" max="5387" width="1.625" style="3" customWidth="1"/>
    <col min="5388" max="5388" width="8.625" style="3" customWidth="1"/>
    <col min="5389" max="5391" width="0" style="3" hidden="1" customWidth="1"/>
    <col min="5392" max="5392" width="12.25" style="3" customWidth="1"/>
    <col min="5393" max="5393" width="6.625" style="3" customWidth="1"/>
    <col min="5394" max="5394" width="9.625" style="3" customWidth="1"/>
    <col min="5395" max="5396" width="7.625" style="3" customWidth="1"/>
    <col min="5397" max="5397" width="6.625" style="3" customWidth="1"/>
    <col min="5398" max="5398" width="14.625" style="3" customWidth="1"/>
    <col min="5399" max="5399" width="13.625" style="3" customWidth="1"/>
    <col min="5400" max="5400" width="0" style="3" hidden="1" customWidth="1"/>
    <col min="5401" max="5401" width="16.625" style="3" customWidth="1"/>
    <col min="5402" max="5402" width="3.625" style="3" customWidth="1"/>
    <col min="5403" max="5403" width="5.625" style="3" customWidth="1"/>
    <col min="5404" max="5404" width="6.625" style="3" customWidth="1"/>
    <col min="5405" max="5632" width="9" style="3"/>
    <col min="5633" max="5633" width="3.625" style="3" customWidth="1"/>
    <col min="5634" max="5635" width="12.625" style="3" customWidth="1"/>
    <col min="5636" max="5636" width="7.625" style="3" customWidth="1"/>
    <col min="5637" max="5637" width="5.25" style="3" customWidth="1"/>
    <col min="5638" max="5638" width="8.125" style="3" customWidth="1"/>
    <col min="5639" max="5639" width="1.625" style="3" customWidth="1"/>
    <col min="5640" max="5640" width="5.625" style="3" customWidth="1"/>
    <col min="5641" max="5641" width="1.625" style="3" customWidth="1"/>
    <col min="5642" max="5642" width="5.625" style="3" customWidth="1"/>
    <col min="5643" max="5643" width="1.625" style="3" customWidth="1"/>
    <col min="5644" max="5644" width="8.625" style="3" customWidth="1"/>
    <col min="5645" max="5647" width="0" style="3" hidden="1" customWidth="1"/>
    <col min="5648" max="5648" width="12.25" style="3" customWidth="1"/>
    <col min="5649" max="5649" width="6.625" style="3" customWidth="1"/>
    <col min="5650" max="5650" width="9.625" style="3" customWidth="1"/>
    <col min="5651" max="5652" width="7.625" style="3" customWidth="1"/>
    <col min="5653" max="5653" width="6.625" style="3" customWidth="1"/>
    <col min="5654" max="5654" width="14.625" style="3" customWidth="1"/>
    <col min="5655" max="5655" width="13.625" style="3" customWidth="1"/>
    <col min="5656" max="5656" width="0" style="3" hidden="1" customWidth="1"/>
    <col min="5657" max="5657" width="16.625" style="3" customWidth="1"/>
    <col min="5658" max="5658" width="3.625" style="3" customWidth="1"/>
    <col min="5659" max="5659" width="5.625" style="3" customWidth="1"/>
    <col min="5660" max="5660" width="6.625" style="3" customWidth="1"/>
    <col min="5661" max="5888" width="9" style="3"/>
    <col min="5889" max="5889" width="3.625" style="3" customWidth="1"/>
    <col min="5890" max="5891" width="12.625" style="3" customWidth="1"/>
    <col min="5892" max="5892" width="7.625" style="3" customWidth="1"/>
    <col min="5893" max="5893" width="5.25" style="3" customWidth="1"/>
    <col min="5894" max="5894" width="8.125" style="3" customWidth="1"/>
    <col min="5895" max="5895" width="1.625" style="3" customWidth="1"/>
    <col min="5896" max="5896" width="5.625" style="3" customWidth="1"/>
    <col min="5897" max="5897" width="1.625" style="3" customWidth="1"/>
    <col min="5898" max="5898" width="5.625" style="3" customWidth="1"/>
    <col min="5899" max="5899" width="1.625" style="3" customWidth="1"/>
    <col min="5900" max="5900" width="8.625" style="3" customWidth="1"/>
    <col min="5901" max="5903" width="0" style="3" hidden="1" customWidth="1"/>
    <col min="5904" max="5904" width="12.25" style="3" customWidth="1"/>
    <col min="5905" max="5905" width="6.625" style="3" customWidth="1"/>
    <col min="5906" max="5906" width="9.625" style="3" customWidth="1"/>
    <col min="5907" max="5908" width="7.625" style="3" customWidth="1"/>
    <col min="5909" max="5909" width="6.625" style="3" customWidth="1"/>
    <col min="5910" max="5910" width="14.625" style="3" customWidth="1"/>
    <col min="5911" max="5911" width="13.625" style="3" customWidth="1"/>
    <col min="5912" max="5912" width="0" style="3" hidden="1" customWidth="1"/>
    <col min="5913" max="5913" width="16.625" style="3" customWidth="1"/>
    <col min="5914" max="5914" width="3.625" style="3" customWidth="1"/>
    <col min="5915" max="5915" width="5.625" style="3" customWidth="1"/>
    <col min="5916" max="5916" width="6.625" style="3" customWidth="1"/>
    <col min="5917" max="6144" width="9" style="3"/>
    <col min="6145" max="6145" width="3.625" style="3" customWidth="1"/>
    <col min="6146" max="6147" width="12.625" style="3" customWidth="1"/>
    <col min="6148" max="6148" width="7.625" style="3" customWidth="1"/>
    <col min="6149" max="6149" width="5.25" style="3" customWidth="1"/>
    <col min="6150" max="6150" width="8.125" style="3" customWidth="1"/>
    <col min="6151" max="6151" width="1.625" style="3" customWidth="1"/>
    <col min="6152" max="6152" width="5.625" style="3" customWidth="1"/>
    <col min="6153" max="6153" width="1.625" style="3" customWidth="1"/>
    <col min="6154" max="6154" width="5.625" style="3" customWidth="1"/>
    <col min="6155" max="6155" width="1.625" style="3" customWidth="1"/>
    <col min="6156" max="6156" width="8.625" style="3" customWidth="1"/>
    <col min="6157" max="6159" width="0" style="3" hidden="1" customWidth="1"/>
    <col min="6160" max="6160" width="12.25" style="3" customWidth="1"/>
    <col min="6161" max="6161" width="6.625" style="3" customWidth="1"/>
    <col min="6162" max="6162" width="9.625" style="3" customWidth="1"/>
    <col min="6163" max="6164" width="7.625" style="3" customWidth="1"/>
    <col min="6165" max="6165" width="6.625" style="3" customWidth="1"/>
    <col min="6166" max="6166" width="14.625" style="3" customWidth="1"/>
    <col min="6167" max="6167" width="13.625" style="3" customWidth="1"/>
    <col min="6168" max="6168" width="0" style="3" hidden="1" customWidth="1"/>
    <col min="6169" max="6169" width="16.625" style="3" customWidth="1"/>
    <col min="6170" max="6170" width="3.625" style="3" customWidth="1"/>
    <col min="6171" max="6171" width="5.625" style="3" customWidth="1"/>
    <col min="6172" max="6172" width="6.625" style="3" customWidth="1"/>
    <col min="6173" max="6400" width="9" style="3"/>
    <col min="6401" max="6401" width="3.625" style="3" customWidth="1"/>
    <col min="6402" max="6403" width="12.625" style="3" customWidth="1"/>
    <col min="6404" max="6404" width="7.625" style="3" customWidth="1"/>
    <col min="6405" max="6405" width="5.25" style="3" customWidth="1"/>
    <col min="6406" max="6406" width="8.125" style="3" customWidth="1"/>
    <col min="6407" max="6407" width="1.625" style="3" customWidth="1"/>
    <col min="6408" max="6408" width="5.625" style="3" customWidth="1"/>
    <col min="6409" max="6409" width="1.625" style="3" customWidth="1"/>
    <col min="6410" max="6410" width="5.625" style="3" customWidth="1"/>
    <col min="6411" max="6411" width="1.625" style="3" customWidth="1"/>
    <col min="6412" max="6412" width="8.625" style="3" customWidth="1"/>
    <col min="6413" max="6415" width="0" style="3" hidden="1" customWidth="1"/>
    <col min="6416" max="6416" width="12.25" style="3" customWidth="1"/>
    <col min="6417" max="6417" width="6.625" style="3" customWidth="1"/>
    <col min="6418" max="6418" width="9.625" style="3" customWidth="1"/>
    <col min="6419" max="6420" width="7.625" style="3" customWidth="1"/>
    <col min="6421" max="6421" width="6.625" style="3" customWidth="1"/>
    <col min="6422" max="6422" width="14.625" style="3" customWidth="1"/>
    <col min="6423" max="6423" width="13.625" style="3" customWidth="1"/>
    <col min="6424" max="6424" width="0" style="3" hidden="1" customWidth="1"/>
    <col min="6425" max="6425" width="16.625" style="3" customWidth="1"/>
    <col min="6426" max="6426" width="3.625" style="3" customWidth="1"/>
    <col min="6427" max="6427" width="5.625" style="3" customWidth="1"/>
    <col min="6428" max="6428" width="6.625" style="3" customWidth="1"/>
    <col min="6429" max="6656" width="9" style="3"/>
    <col min="6657" max="6657" width="3.625" style="3" customWidth="1"/>
    <col min="6658" max="6659" width="12.625" style="3" customWidth="1"/>
    <col min="6660" max="6660" width="7.625" style="3" customWidth="1"/>
    <col min="6661" max="6661" width="5.25" style="3" customWidth="1"/>
    <col min="6662" max="6662" width="8.125" style="3" customWidth="1"/>
    <col min="6663" max="6663" width="1.625" style="3" customWidth="1"/>
    <col min="6664" max="6664" width="5.625" style="3" customWidth="1"/>
    <col min="6665" max="6665" width="1.625" style="3" customWidth="1"/>
    <col min="6666" max="6666" width="5.625" style="3" customWidth="1"/>
    <col min="6667" max="6667" width="1.625" style="3" customWidth="1"/>
    <col min="6668" max="6668" width="8.625" style="3" customWidth="1"/>
    <col min="6669" max="6671" width="0" style="3" hidden="1" customWidth="1"/>
    <col min="6672" max="6672" width="12.25" style="3" customWidth="1"/>
    <col min="6673" max="6673" width="6.625" style="3" customWidth="1"/>
    <col min="6674" max="6674" width="9.625" style="3" customWidth="1"/>
    <col min="6675" max="6676" width="7.625" style="3" customWidth="1"/>
    <col min="6677" max="6677" width="6.625" style="3" customWidth="1"/>
    <col min="6678" max="6678" width="14.625" style="3" customWidth="1"/>
    <col min="6679" max="6679" width="13.625" style="3" customWidth="1"/>
    <col min="6680" max="6680" width="0" style="3" hidden="1" customWidth="1"/>
    <col min="6681" max="6681" width="16.625" style="3" customWidth="1"/>
    <col min="6682" max="6682" width="3.625" style="3" customWidth="1"/>
    <col min="6683" max="6683" width="5.625" style="3" customWidth="1"/>
    <col min="6684" max="6684" width="6.625" style="3" customWidth="1"/>
    <col min="6685" max="6912" width="9" style="3"/>
    <col min="6913" max="6913" width="3.625" style="3" customWidth="1"/>
    <col min="6914" max="6915" width="12.625" style="3" customWidth="1"/>
    <col min="6916" max="6916" width="7.625" style="3" customWidth="1"/>
    <col min="6917" max="6917" width="5.25" style="3" customWidth="1"/>
    <col min="6918" max="6918" width="8.125" style="3" customWidth="1"/>
    <col min="6919" max="6919" width="1.625" style="3" customWidth="1"/>
    <col min="6920" max="6920" width="5.625" style="3" customWidth="1"/>
    <col min="6921" max="6921" width="1.625" style="3" customWidth="1"/>
    <col min="6922" max="6922" width="5.625" style="3" customWidth="1"/>
    <col min="6923" max="6923" width="1.625" style="3" customWidth="1"/>
    <col min="6924" max="6924" width="8.625" style="3" customWidth="1"/>
    <col min="6925" max="6927" width="0" style="3" hidden="1" customWidth="1"/>
    <col min="6928" max="6928" width="12.25" style="3" customWidth="1"/>
    <col min="6929" max="6929" width="6.625" style="3" customWidth="1"/>
    <col min="6930" max="6930" width="9.625" style="3" customWidth="1"/>
    <col min="6931" max="6932" width="7.625" style="3" customWidth="1"/>
    <col min="6933" max="6933" width="6.625" style="3" customWidth="1"/>
    <col min="6934" max="6934" width="14.625" style="3" customWidth="1"/>
    <col min="6935" max="6935" width="13.625" style="3" customWidth="1"/>
    <col min="6936" max="6936" width="0" style="3" hidden="1" customWidth="1"/>
    <col min="6937" max="6937" width="16.625" style="3" customWidth="1"/>
    <col min="6938" max="6938" width="3.625" style="3" customWidth="1"/>
    <col min="6939" max="6939" width="5.625" style="3" customWidth="1"/>
    <col min="6940" max="6940" width="6.625" style="3" customWidth="1"/>
    <col min="6941" max="7168" width="9" style="3"/>
    <col min="7169" max="7169" width="3.625" style="3" customWidth="1"/>
    <col min="7170" max="7171" width="12.625" style="3" customWidth="1"/>
    <col min="7172" max="7172" width="7.625" style="3" customWidth="1"/>
    <col min="7173" max="7173" width="5.25" style="3" customWidth="1"/>
    <col min="7174" max="7174" width="8.125" style="3" customWidth="1"/>
    <col min="7175" max="7175" width="1.625" style="3" customWidth="1"/>
    <col min="7176" max="7176" width="5.625" style="3" customWidth="1"/>
    <col min="7177" max="7177" width="1.625" style="3" customWidth="1"/>
    <col min="7178" max="7178" width="5.625" style="3" customWidth="1"/>
    <col min="7179" max="7179" width="1.625" style="3" customWidth="1"/>
    <col min="7180" max="7180" width="8.625" style="3" customWidth="1"/>
    <col min="7181" max="7183" width="0" style="3" hidden="1" customWidth="1"/>
    <col min="7184" max="7184" width="12.25" style="3" customWidth="1"/>
    <col min="7185" max="7185" width="6.625" style="3" customWidth="1"/>
    <col min="7186" max="7186" width="9.625" style="3" customWidth="1"/>
    <col min="7187" max="7188" width="7.625" style="3" customWidth="1"/>
    <col min="7189" max="7189" width="6.625" style="3" customWidth="1"/>
    <col min="7190" max="7190" width="14.625" style="3" customWidth="1"/>
    <col min="7191" max="7191" width="13.625" style="3" customWidth="1"/>
    <col min="7192" max="7192" width="0" style="3" hidden="1" customWidth="1"/>
    <col min="7193" max="7193" width="16.625" style="3" customWidth="1"/>
    <col min="7194" max="7194" width="3.625" style="3" customWidth="1"/>
    <col min="7195" max="7195" width="5.625" style="3" customWidth="1"/>
    <col min="7196" max="7196" width="6.625" style="3" customWidth="1"/>
    <col min="7197" max="7424" width="9" style="3"/>
    <col min="7425" max="7425" width="3.625" style="3" customWidth="1"/>
    <col min="7426" max="7427" width="12.625" style="3" customWidth="1"/>
    <col min="7428" max="7428" width="7.625" style="3" customWidth="1"/>
    <col min="7429" max="7429" width="5.25" style="3" customWidth="1"/>
    <col min="7430" max="7430" width="8.125" style="3" customWidth="1"/>
    <col min="7431" max="7431" width="1.625" style="3" customWidth="1"/>
    <col min="7432" max="7432" width="5.625" style="3" customWidth="1"/>
    <col min="7433" max="7433" width="1.625" style="3" customWidth="1"/>
    <col min="7434" max="7434" width="5.625" style="3" customWidth="1"/>
    <col min="7435" max="7435" width="1.625" style="3" customWidth="1"/>
    <col min="7436" max="7436" width="8.625" style="3" customWidth="1"/>
    <col min="7437" max="7439" width="0" style="3" hidden="1" customWidth="1"/>
    <col min="7440" max="7440" width="12.25" style="3" customWidth="1"/>
    <col min="7441" max="7441" width="6.625" style="3" customWidth="1"/>
    <col min="7442" max="7442" width="9.625" style="3" customWidth="1"/>
    <col min="7443" max="7444" width="7.625" style="3" customWidth="1"/>
    <col min="7445" max="7445" width="6.625" style="3" customWidth="1"/>
    <col min="7446" max="7446" width="14.625" style="3" customWidth="1"/>
    <col min="7447" max="7447" width="13.625" style="3" customWidth="1"/>
    <col min="7448" max="7448" width="0" style="3" hidden="1" customWidth="1"/>
    <col min="7449" max="7449" width="16.625" style="3" customWidth="1"/>
    <col min="7450" max="7450" width="3.625" style="3" customWidth="1"/>
    <col min="7451" max="7451" width="5.625" style="3" customWidth="1"/>
    <col min="7452" max="7452" width="6.625" style="3" customWidth="1"/>
    <col min="7453" max="7680" width="9" style="3"/>
    <col min="7681" max="7681" width="3.625" style="3" customWidth="1"/>
    <col min="7682" max="7683" width="12.625" style="3" customWidth="1"/>
    <col min="7684" max="7684" width="7.625" style="3" customWidth="1"/>
    <col min="7685" max="7685" width="5.25" style="3" customWidth="1"/>
    <col min="7686" max="7686" width="8.125" style="3" customWidth="1"/>
    <col min="7687" max="7687" width="1.625" style="3" customWidth="1"/>
    <col min="7688" max="7688" width="5.625" style="3" customWidth="1"/>
    <col min="7689" max="7689" width="1.625" style="3" customWidth="1"/>
    <col min="7690" max="7690" width="5.625" style="3" customWidth="1"/>
    <col min="7691" max="7691" width="1.625" style="3" customWidth="1"/>
    <col min="7692" max="7692" width="8.625" style="3" customWidth="1"/>
    <col min="7693" max="7695" width="0" style="3" hidden="1" customWidth="1"/>
    <col min="7696" max="7696" width="12.25" style="3" customWidth="1"/>
    <col min="7697" max="7697" width="6.625" style="3" customWidth="1"/>
    <col min="7698" max="7698" width="9.625" style="3" customWidth="1"/>
    <col min="7699" max="7700" width="7.625" style="3" customWidth="1"/>
    <col min="7701" max="7701" width="6.625" style="3" customWidth="1"/>
    <col min="7702" max="7702" width="14.625" style="3" customWidth="1"/>
    <col min="7703" max="7703" width="13.625" style="3" customWidth="1"/>
    <col min="7704" max="7704" width="0" style="3" hidden="1" customWidth="1"/>
    <col min="7705" max="7705" width="16.625" style="3" customWidth="1"/>
    <col min="7706" max="7706" width="3.625" style="3" customWidth="1"/>
    <col min="7707" max="7707" width="5.625" style="3" customWidth="1"/>
    <col min="7708" max="7708" width="6.625" style="3" customWidth="1"/>
    <col min="7709" max="7936" width="9" style="3"/>
    <col min="7937" max="7937" width="3.625" style="3" customWidth="1"/>
    <col min="7938" max="7939" width="12.625" style="3" customWidth="1"/>
    <col min="7940" max="7940" width="7.625" style="3" customWidth="1"/>
    <col min="7941" max="7941" width="5.25" style="3" customWidth="1"/>
    <col min="7942" max="7942" width="8.125" style="3" customWidth="1"/>
    <col min="7943" max="7943" width="1.625" style="3" customWidth="1"/>
    <col min="7944" max="7944" width="5.625" style="3" customWidth="1"/>
    <col min="7945" max="7945" width="1.625" style="3" customWidth="1"/>
    <col min="7946" max="7946" width="5.625" style="3" customWidth="1"/>
    <col min="7947" max="7947" width="1.625" style="3" customWidth="1"/>
    <col min="7948" max="7948" width="8.625" style="3" customWidth="1"/>
    <col min="7949" max="7951" width="0" style="3" hidden="1" customWidth="1"/>
    <col min="7952" max="7952" width="12.25" style="3" customWidth="1"/>
    <col min="7953" max="7953" width="6.625" style="3" customWidth="1"/>
    <col min="7954" max="7954" width="9.625" style="3" customWidth="1"/>
    <col min="7955" max="7956" width="7.625" style="3" customWidth="1"/>
    <col min="7957" max="7957" width="6.625" style="3" customWidth="1"/>
    <col min="7958" max="7958" width="14.625" style="3" customWidth="1"/>
    <col min="7959" max="7959" width="13.625" style="3" customWidth="1"/>
    <col min="7960" max="7960" width="0" style="3" hidden="1" customWidth="1"/>
    <col min="7961" max="7961" width="16.625" style="3" customWidth="1"/>
    <col min="7962" max="7962" width="3.625" style="3" customWidth="1"/>
    <col min="7963" max="7963" width="5.625" style="3" customWidth="1"/>
    <col min="7964" max="7964" width="6.625" style="3" customWidth="1"/>
    <col min="7965" max="8192" width="9" style="3"/>
    <col min="8193" max="8193" width="3.625" style="3" customWidth="1"/>
    <col min="8194" max="8195" width="12.625" style="3" customWidth="1"/>
    <col min="8196" max="8196" width="7.625" style="3" customWidth="1"/>
    <col min="8197" max="8197" width="5.25" style="3" customWidth="1"/>
    <col min="8198" max="8198" width="8.125" style="3" customWidth="1"/>
    <col min="8199" max="8199" width="1.625" style="3" customWidth="1"/>
    <col min="8200" max="8200" width="5.625" style="3" customWidth="1"/>
    <col min="8201" max="8201" width="1.625" style="3" customWidth="1"/>
    <col min="8202" max="8202" width="5.625" style="3" customWidth="1"/>
    <col min="8203" max="8203" width="1.625" style="3" customWidth="1"/>
    <col min="8204" max="8204" width="8.625" style="3" customWidth="1"/>
    <col min="8205" max="8207" width="0" style="3" hidden="1" customWidth="1"/>
    <col min="8208" max="8208" width="12.25" style="3" customWidth="1"/>
    <col min="8209" max="8209" width="6.625" style="3" customWidth="1"/>
    <col min="8210" max="8210" width="9.625" style="3" customWidth="1"/>
    <col min="8211" max="8212" width="7.625" style="3" customWidth="1"/>
    <col min="8213" max="8213" width="6.625" style="3" customWidth="1"/>
    <col min="8214" max="8214" width="14.625" style="3" customWidth="1"/>
    <col min="8215" max="8215" width="13.625" style="3" customWidth="1"/>
    <col min="8216" max="8216" width="0" style="3" hidden="1" customWidth="1"/>
    <col min="8217" max="8217" width="16.625" style="3" customWidth="1"/>
    <col min="8218" max="8218" width="3.625" style="3" customWidth="1"/>
    <col min="8219" max="8219" width="5.625" style="3" customWidth="1"/>
    <col min="8220" max="8220" width="6.625" style="3" customWidth="1"/>
    <col min="8221" max="8448" width="9" style="3"/>
    <col min="8449" max="8449" width="3.625" style="3" customWidth="1"/>
    <col min="8450" max="8451" width="12.625" style="3" customWidth="1"/>
    <col min="8452" max="8452" width="7.625" style="3" customWidth="1"/>
    <col min="8453" max="8453" width="5.25" style="3" customWidth="1"/>
    <col min="8454" max="8454" width="8.125" style="3" customWidth="1"/>
    <col min="8455" max="8455" width="1.625" style="3" customWidth="1"/>
    <col min="8456" max="8456" width="5.625" style="3" customWidth="1"/>
    <col min="8457" max="8457" width="1.625" style="3" customWidth="1"/>
    <col min="8458" max="8458" width="5.625" style="3" customWidth="1"/>
    <col min="8459" max="8459" width="1.625" style="3" customWidth="1"/>
    <col min="8460" max="8460" width="8.625" style="3" customWidth="1"/>
    <col min="8461" max="8463" width="0" style="3" hidden="1" customWidth="1"/>
    <col min="8464" max="8464" width="12.25" style="3" customWidth="1"/>
    <col min="8465" max="8465" width="6.625" style="3" customWidth="1"/>
    <col min="8466" max="8466" width="9.625" style="3" customWidth="1"/>
    <col min="8467" max="8468" width="7.625" style="3" customWidth="1"/>
    <col min="8469" max="8469" width="6.625" style="3" customWidth="1"/>
    <col min="8470" max="8470" width="14.625" style="3" customWidth="1"/>
    <col min="8471" max="8471" width="13.625" style="3" customWidth="1"/>
    <col min="8472" max="8472" width="0" style="3" hidden="1" customWidth="1"/>
    <col min="8473" max="8473" width="16.625" style="3" customWidth="1"/>
    <col min="8474" max="8474" width="3.625" style="3" customWidth="1"/>
    <col min="8475" max="8475" width="5.625" style="3" customWidth="1"/>
    <col min="8476" max="8476" width="6.625" style="3" customWidth="1"/>
    <col min="8477" max="8704" width="9" style="3"/>
    <col min="8705" max="8705" width="3.625" style="3" customWidth="1"/>
    <col min="8706" max="8707" width="12.625" style="3" customWidth="1"/>
    <col min="8708" max="8708" width="7.625" style="3" customWidth="1"/>
    <col min="8709" max="8709" width="5.25" style="3" customWidth="1"/>
    <col min="8710" max="8710" width="8.125" style="3" customWidth="1"/>
    <col min="8711" max="8711" width="1.625" style="3" customWidth="1"/>
    <col min="8712" max="8712" width="5.625" style="3" customWidth="1"/>
    <col min="8713" max="8713" width="1.625" style="3" customWidth="1"/>
    <col min="8714" max="8714" width="5.625" style="3" customWidth="1"/>
    <col min="8715" max="8715" width="1.625" style="3" customWidth="1"/>
    <col min="8716" max="8716" width="8.625" style="3" customWidth="1"/>
    <col min="8717" max="8719" width="0" style="3" hidden="1" customWidth="1"/>
    <col min="8720" max="8720" width="12.25" style="3" customWidth="1"/>
    <col min="8721" max="8721" width="6.625" style="3" customWidth="1"/>
    <col min="8722" max="8722" width="9.625" style="3" customWidth="1"/>
    <col min="8723" max="8724" width="7.625" style="3" customWidth="1"/>
    <col min="8725" max="8725" width="6.625" style="3" customWidth="1"/>
    <col min="8726" max="8726" width="14.625" style="3" customWidth="1"/>
    <col min="8727" max="8727" width="13.625" style="3" customWidth="1"/>
    <col min="8728" max="8728" width="0" style="3" hidden="1" customWidth="1"/>
    <col min="8729" max="8729" width="16.625" style="3" customWidth="1"/>
    <col min="8730" max="8730" width="3.625" style="3" customWidth="1"/>
    <col min="8731" max="8731" width="5.625" style="3" customWidth="1"/>
    <col min="8732" max="8732" width="6.625" style="3" customWidth="1"/>
    <col min="8733" max="8960" width="9" style="3"/>
    <col min="8961" max="8961" width="3.625" style="3" customWidth="1"/>
    <col min="8962" max="8963" width="12.625" style="3" customWidth="1"/>
    <col min="8964" max="8964" width="7.625" style="3" customWidth="1"/>
    <col min="8965" max="8965" width="5.25" style="3" customWidth="1"/>
    <col min="8966" max="8966" width="8.125" style="3" customWidth="1"/>
    <col min="8967" max="8967" width="1.625" style="3" customWidth="1"/>
    <col min="8968" max="8968" width="5.625" style="3" customWidth="1"/>
    <col min="8969" max="8969" width="1.625" style="3" customWidth="1"/>
    <col min="8970" max="8970" width="5.625" style="3" customWidth="1"/>
    <col min="8971" max="8971" width="1.625" style="3" customWidth="1"/>
    <col min="8972" max="8972" width="8.625" style="3" customWidth="1"/>
    <col min="8973" max="8975" width="0" style="3" hidden="1" customWidth="1"/>
    <col min="8976" max="8976" width="12.25" style="3" customWidth="1"/>
    <col min="8977" max="8977" width="6.625" style="3" customWidth="1"/>
    <col min="8978" max="8978" width="9.625" style="3" customWidth="1"/>
    <col min="8979" max="8980" width="7.625" style="3" customWidth="1"/>
    <col min="8981" max="8981" width="6.625" style="3" customWidth="1"/>
    <col min="8982" max="8982" width="14.625" style="3" customWidth="1"/>
    <col min="8983" max="8983" width="13.625" style="3" customWidth="1"/>
    <col min="8984" max="8984" width="0" style="3" hidden="1" customWidth="1"/>
    <col min="8985" max="8985" width="16.625" style="3" customWidth="1"/>
    <col min="8986" max="8986" width="3.625" style="3" customWidth="1"/>
    <col min="8987" max="8987" width="5.625" style="3" customWidth="1"/>
    <col min="8988" max="8988" width="6.625" style="3" customWidth="1"/>
    <col min="8989" max="9216" width="9" style="3"/>
    <col min="9217" max="9217" width="3.625" style="3" customWidth="1"/>
    <col min="9218" max="9219" width="12.625" style="3" customWidth="1"/>
    <col min="9220" max="9220" width="7.625" style="3" customWidth="1"/>
    <col min="9221" max="9221" width="5.25" style="3" customWidth="1"/>
    <col min="9222" max="9222" width="8.125" style="3" customWidth="1"/>
    <col min="9223" max="9223" width="1.625" style="3" customWidth="1"/>
    <col min="9224" max="9224" width="5.625" style="3" customWidth="1"/>
    <col min="9225" max="9225" width="1.625" style="3" customWidth="1"/>
    <col min="9226" max="9226" width="5.625" style="3" customWidth="1"/>
    <col min="9227" max="9227" width="1.625" style="3" customWidth="1"/>
    <col min="9228" max="9228" width="8.625" style="3" customWidth="1"/>
    <col min="9229" max="9231" width="0" style="3" hidden="1" customWidth="1"/>
    <col min="9232" max="9232" width="12.25" style="3" customWidth="1"/>
    <col min="9233" max="9233" width="6.625" style="3" customWidth="1"/>
    <col min="9234" max="9234" width="9.625" style="3" customWidth="1"/>
    <col min="9235" max="9236" width="7.625" style="3" customWidth="1"/>
    <col min="9237" max="9237" width="6.625" style="3" customWidth="1"/>
    <col min="9238" max="9238" width="14.625" style="3" customWidth="1"/>
    <col min="9239" max="9239" width="13.625" style="3" customWidth="1"/>
    <col min="9240" max="9240" width="0" style="3" hidden="1" customWidth="1"/>
    <col min="9241" max="9241" width="16.625" style="3" customWidth="1"/>
    <col min="9242" max="9242" width="3.625" style="3" customWidth="1"/>
    <col min="9243" max="9243" width="5.625" style="3" customWidth="1"/>
    <col min="9244" max="9244" width="6.625" style="3" customWidth="1"/>
    <col min="9245" max="9472" width="9" style="3"/>
    <col min="9473" max="9473" width="3.625" style="3" customWidth="1"/>
    <col min="9474" max="9475" width="12.625" style="3" customWidth="1"/>
    <col min="9476" max="9476" width="7.625" style="3" customWidth="1"/>
    <col min="9477" max="9477" width="5.25" style="3" customWidth="1"/>
    <col min="9478" max="9478" width="8.125" style="3" customWidth="1"/>
    <col min="9479" max="9479" width="1.625" style="3" customWidth="1"/>
    <col min="9480" max="9480" width="5.625" style="3" customWidth="1"/>
    <col min="9481" max="9481" width="1.625" style="3" customWidth="1"/>
    <col min="9482" max="9482" width="5.625" style="3" customWidth="1"/>
    <col min="9483" max="9483" width="1.625" style="3" customWidth="1"/>
    <col min="9484" max="9484" width="8.625" style="3" customWidth="1"/>
    <col min="9485" max="9487" width="0" style="3" hidden="1" customWidth="1"/>
    <col min="9488" max="9488" width="12.25" style="3" customWidth="1"/>
    <col min="9489" max="9489" width="6.625" style="3" customWidth="1"/>
    <col min="9490" max="9490" width="9.625" style="3" customWidth="1"/>
    <col min="9491" max="9492" width="7.625" style="3" customWidth="1"/>
    <col min="9493" max="9493" width="6.625" style="3" customWidth="1"/>
    <col min="9494" max="9494" width="14.625" style="3" customWidth="1"/>
    <col min="9495" max="9495" width="13.625" style="3" customWidth="1"/>
    <col min="9496" max="9496" width="0" style="3" hidden="1" customWidth="1"/>
    <col min="9497" max="9497" width="16.625" style="3" customWidth="1"/>
    <col min="9498" max="9498" width="3.625" style="3" customWidth="1"/>
    <col min="9499" max="9499" width="5.625" style="3" customWidth="1"/>
    <col min="9500" max="9500" width="6.625" style="3" customWidth="1"/>
    <col min="9501" max="9728" width="9" style="3"/>
    <col min="9729" max="9729" width="3.625" style="3" customWidth="1"/>
    <col min="9730" max="9731" width="12.625" style="3" customWidth="1"/>
    <col min="9732" max="9732" width="7.625" style="3" customWidth="1"/>
    <col min="9733" max="9733" width="5.25" style="3" customWidth="1"/>
    <col min="9734" max="9734" width="8.125" style="3" customWidth="1"/>
    <col min="9735" max="9735" width="1.625" style="3" customWidth="1"/>
    <col min="9736" max="9736" width="5.625" style="3" customWidth="1"/>
    <col min="9737" max="9737" width="1.625" style="3" customWidth="1"/>
    <col min="9738" max="9738" width="5.625" style="3" customWidth="1"/>
    <col min="9739" max="9739" width="1.625" style="3" customWidth="1"/>
    <col min="9740" max="9740" width="8.625" style="3" customWidth="1"/>
    <col min="9741" max="9743" width="0" style="3" hidden="1" customWidth="1"/>
    <col min="9744" max="9744" width="12.25" style="3" customWidth="1"/>
    <col min="9745" max="9745" width="6.625" style="3" customWidth="1"/>
    <col min="9746" max="9746" width="9.625" style="3" customWidth="1"/>
    <col min="9747" max="9748" width="7.625" style="3" customWidth="1"/>
    <col min="9749" max="9749" width="6.625" style="3" customWidth="1"/>
    <col min="9750" max="9750" width="14.625" style="3" customWidth="1"/>
    <col min="9751" max="9751" width="13.625" style="3" customWidth="1"/>
    <col min="9752" max="9752" width="0" style="3" hidden="1" customWidth="1"/>
    <col min="9753" max="9753" width="16.625" style="3" customWidth="1"/>
    <col min="9754" max="9754" width="3.625" style="3" customWidth="1"/>
    <col min="9755" max="9755" width="5.625" style="3" customWidth="1"/>
    <col min="9756" max="9756" width="6.625" style="3" customWidth="1"/>
    <col min="9757" max="9984" width="9" style="3"/>
    <col min="9985" max="9985" width="3.625" style="3" customWidth="1"/>
    <col min="9986" max="9987" width="12.625" style="3" customWidth="1"/>
    <col min="9988" max="9988" width="7.625" style="3" customWidth="1"/>
    <col min="9989" max="9989" width="5.25" style="3" customWidth="1"/>
    <col min="9990" max="9990" width="8.125" style="3" customWidth="1"/>
    <col min="9991" max="9991" width="1.625" style="3" customWidth="1"/>
    <col min="9992" max="9992" width="5.625" style="3" customWidth="1"/>
    <col min="9993" max="9993" width="1.625" style="3" customWidth="1"/>
    <col min="9994" max="9994" width="5.625" style="3" customWidth="1"/>
    <col min="9995" max="9995" width="1.625" style="3" customWidth="1"/>
    <col min="9996" max="9996" width="8.625" style="3" customWidth="1"/>
    <col min="9997" max="9999" width="0" style="3" hidden="1" customWidth="1"/>
    <col min="10000" max="10000" width="12.25" style="3" customWidth="1"/>
    <col min="10001" max="10001" width="6.625" style="3" customWidth="1"/>
    <col min="10002" max="10002" width="9.625" style="3" customWidth="1"/>
    <col min="10003" max="10004" width="7.625" style="3" customWidth="1"/>
    <col min="10005" max="10005" width="6.625" style="3" customWidth="1"/>
    <col min="10006" max="10006" width="14.625" style="3" customWidth="1"/>
    <col min="10007" max="10007" width="13.625" style="3" customWidth="1"/>
    <col min="10008" max="10008" width="0" style="3" hidden="1" customWidth="1"/>
    <col min="10009" max="10009" width="16.625" style="3" customWidth="1"/>
    <col min="10010" max="10010" width="3.625" style="3" customWidth="1"/>
    <col min="10011" max="10011" width="5.625" style="3" customWidth="1"/>
    <col min="10012" max="10012" width="6.625" style="3" customWidth="1"/>
    <col min="10013" max="10240" width="9" style="3"/>
    <col min="10241" max="10241" width="3.625" style="3" customWidth="1"/>
    <col min="10242" max="10243" width="12.625" style="3" customWidth="1"/>
    <col min="10244" max="10244" width="7.625" style="3" customWidth="1"/>
    <col min="10245" max="10245" width="5.25" style="3" customWidth="1"/>
    <col min="10246" max="10246" width="8.125" style="3" customWidth="1"/>
    <col min="10247" max="10247" width="1.625" style="3" customWidth="1"/>
    <col min="10248" max="10248" width="5.625" style="3" customWidth="1"/>
    <col min="10249" max="10249" width="1.625" style="3" customWidth="1"/>
    <col min="10250" max="10250" width="5.625" style="3" customWidth="1"/>
    <col min="10251" max="10251" width="1.625" style="3" customWidth="1"/>
    <col min="10252" max="10252" width="8.625" style="3" customWidth="1"/>
    <col min="10253" max="10255" width="0" style="3" hidden="1" customWidth="1"/>
    <col min="10256" max="10256" width="12.25" style="3" customWidth="1"/>
    <col min="10257" max="10257" width="6.625" style="3" customWidth="1"/>
    <col min="10258" max="10258" width="9.625" style="3" customWidth="1"/>
    <col min="10259" max="10260" width="7.625" style="3" customWidth="1"/>
    <col min="10261" max="10261" width="6.625" style="3" customWidth="1"/>
    <col min="10262" max="10262" width="14.625" style="3" customWidth="1"/>
    <col min="10263" max="10263" width="13.625" style="3" customWidth="1"/>
    <col min="10264" max="10264" width="0" style="3" hidden="1" customWidth="1"/>
    <col min="10265" max="10265" width="16.625" style="3" customWidth="1"/>
    <col min="10266" max="10266" width="3.625" style="3" customWidth="1"/>
    <col min="10267" max="10267" width="5.625" style="3" customWidth="1"/>
    <col min="10268" max="10268" width="6.625" style="3" customWidth="1"/>
    <col min="10269" max="10496" width="9" style="3"/>
    <col min="10497" max="10497" width="3.625" style="3" customWidth="1"/>
    <col min="10498" max="10499" width="12.625" style="3" customWidth="1"/>
    <col min="10500" max="10500" width="7.625" style="3" customWidth="1"/>
    <col min="10501" max="10501" width="5.25" style="3" customWidth="1"/>
    <col min="10502" max="10502" width="8.125" style="3" customWidth="1"/>
    <col min="10503" max="10503" width="1.625" style="3" customWidth="1"/>
    <col min="10504" max="10504" width="5.625" style="3" customWidth="1"/>
    <col min="10505" max="10505" width="1.625" style="3" customWidth="1"/>
    <col min="10506" max="10506" width="5.625" style="3" customWidth="1"/>
    <col min="10507" max="10507" width="1.625" style="3" customWidth="1"/>
    <col min="10508" max="10508" width="8.625" style="3" customWidth="1"/>
    <col min="10509" max="10511" width="0" style="3" hidden="1" customWidth="1"/>
    <col min="10512" max="10512" width="12.25" style="3" customWidth="1"/>
    <col min="10513" max="10513" width="6.625" style="3" customWidth="1"/>
    <col min="10514" max="10514" width="9.625" style="3" customWidth="1"/>
    <col min="10515" max="10516" width="7.625" style="3" customWidth="1"/>
    <col min="10517" max="10517" width="6.625" style="3" customWidth="1"/>
    <col min="10518" max="10518" width="14.625" style="3" customWidth="1"/>
    <col min="10519" max="10519" width="13.625" style="3" customWidth="1"/>
    <col min="10520" max="10520" width="0" style="3" hidden="1" customWidth="1"/>
    <col min="10521" max="10521" width="16.625" style="3" customWidth="1"/>
    <col min="10522" max="10522" width="3.625" style="3" customWidth="1"/>
    <col min="10523" max="10523" width="5.625" style="3" customWidth="1"/>
    <col min="10524" max="10524" width="6.625" style="3" customWidth="1"/>
    <col min="10525" max="10752" width="9" style="3"/>
    <col min="10753" max="10753" width="3.625" style="3" customWidth="1"/>
    <col min="10754" max="10755" width="12.625" style="3" customWidth="1"/>
    <col min="10756" max="10756" width="7.625" style="3" customWidth="1"/>
    <col min="10757" max="10757" width="5.25" style="3" customWidth="1"/>
    <col min="10758" max="10758" width="8.125" style="3" customWidth="1"/>
    <col min="10759" max="10759" width="1.625" style="3" customWidth="1"/>
    <col min="10760" max="10760" width="5.625" style="3" customWidth="1"/>
    <col min="10761" max="10761" width="1.625" style="3" customWidth="1"/>
    <col min="10762" max="10762" width="5.625" style="3" customWidth="1"/>
    <col min="10763" max="10763" width="1.625" style="3" customWidth="1"/>
    <col min="10764" max="10764" width="8.625" style="3" customWidth="1"/>
    <col min="10765" max="10767" width="0" style="3" hidden="1" customWidth="1"/>
    <col min="10768" max="10768" width="12.25" style="3" customWidth="1"/>
    <col min="10769" max="10769" width="6.625" style="3" customWidth="1"/>
    <col min="10770" max="10770" width="9.625" style="3" customWidth="1"/>
    <col min="10771" max="10772" width="7.625" style="3" customWidth="1"/>
    <col min="10773" max="10773" width="6.625" style="3" customWidth="1"/>
    <col min="10774" max="10774" width="14.625" style="3" customWidth="1"/>
    <col min="10775" max="10775" width="13.625" style="3" customWidth="1"/>
    <col min="10776" max="10776" width="0" style="3" hidden="1" customWidth="1"/>
    <col min="10777" max="10777" width="16.625" style="3" customWidth="1"/>
    <col min="10778" max="10778" width="3.625" style="3" customWidth="1"/>
    <col min="10779" max="10779" width="5.625" style="3" customWidth="1"/>
    <col min="10780" max="10780" width="6.625" style="3" customWidth="1"/>
    <col min="10781" max="11008" width="9" style="3"/>
    <col min="11009" max="11009" width="3.625" style="3" customWidth="1"/>
    <col min="11010" max="11011" width="12.625" style="3" customWidth="1"/>
    <col min="11012" max="11012" width="7.625" style="3" customWidth="1"/>
    <col min="11013" max="11013" width="5.25" style="3" customWidth="1"/>
    <col min="11014" max="11014" width="8.125" style="3" customWidth="1"/>
    <col min="11015" max="11015" width="1.625" style="3" customWidth="1"/>
    <col min="11016" max="11016" width="5.625" style="3" customWidth="1"/>
    <col min="11017" max="11017" width="1.625" style="3" customWidth="1"/>
    <col min="11018" max="11018" width="5.625" style="3" customWidth="1"/>
    <col min="11019" max="11019" width="1.625" style="3" customWidth="1"/>
    <col min="11020" max="11020" width="8.625" style="3" customWidth="1"/>
    <col min="11021" max="11023" width="0" style="3" hidden="1" customWidth="1"/>
    <col min="11024" max="11024" width="12.25" style="3" customWidth="1"/>
    <col min="11025" max="11025" width="6.625" style="3" customWidth="1"/>
    <col min="11026" max="11026" width="9.625" style="3" customWidth="1"/>
    <col min="11027" max="11028" width="7.625" style="3" customWidth="1"/>
    <col min="11029" max="11029" width="6.625" style="3" customWidth="1"/>
    <col min="11030" max="11030" width="14.625" style="3" customWidth="1"/>
    <col min="11031" max="11031" width="13.625" style="3" customWidth="1"/>
    <col min="11032" max="11032" width="0" style="3" hidden="1" customWidth="1"/>
    <col min="11033" max="11033" width="16.625" style="3" customWidth="1"/>
    <col min="11034" max="11034" width="3.625" style="3" customWidth="1"/>
    <col min="11035" max="11035" width="5.625" style="3" customWidth="1"/>
    <col min="11036" max="11036" width="6.625" style="3" customWidth="1"/>
    <col min="11037" max="11264" width="9" style="3"/>
    <col min="11265" max="11265" width="3.625" style="3" customWidth="1"/>
    <col min="11266" max="11267" width="12.625" style="3" customWidth="1"/>
    <col min="11268" max="11268" width="7.625" style="3" customWidth="1"/>
    <col min="11269" max="11269" width="5.25" style="3" customWidth="1"/>
    <col min="11270" max="11270" width="8.125" style="3" customWidth="1"/>
    <col min="11271" max="11271" width="1.625" style="3" customWidth="1"/>
    <col min="11272" max="11272" width="5.625" style="3" customWidth="1"/>
    <col min="11273" max="11273" width="1.625" style="3" customWidth="1"/>
    <col min="11274" max="11274" width="5.625" style="3" customWidth="1"/>
    <col min="11275" max="11275" width="1.625" style="3" customWidth="1"/>
    <col min="11276" max="11276" width="8.625" style="3" customWidth="1"/>
    <col min="11277" max="11279" width="0" style="3" hidden="1" customWidth="1"/>
    <col min="11280" max="11280" width="12.25" style="3" customWidth="1"/>
    <col min="11281" max="11281" width="6.625" style="3" customWidth="1"/>
    <col min="11282" max="11282" width="9.625" style="3" customWidth="1"/>
    <col min="11283" max="11284" width="7.625" style="3" customWidth="1"/>
    <col min="11285" max="11285" width="6.625" style="3" customWidth="1"/>
    <col min="11286" max="11286" width="14.625" style="3" customWidth="1"/>
    <col min="11287" max="11287" width="13.625" style="3" customWidth="1"/>
    <col min="11288" max="11288" width="0" style="3" hidden="1" customWidth="1"/>
    <col min="11289" max="11289" width="16.625" style="3" customWidth="1"/>
    <col min="11290" max="11290" width="3.625" style="3" customWidth="1"/>
    <col min="11291" max="11291" width="5.625" style="3" customWidth="1"/>
    <col min="11292" max="11292" width="6.625" style="3" customWidth="1"/>
    <col min="11293" max="11520" width="9" style="3"/>
    <col min="11521" max="11521" width="3.625" style="3" customWidth="1"/>
    <col min="11522" max="11523" width="12.625" style="3" customWidth="1"/>
    <col min="11524" max="11524" width="7.625" style="3" customWidth="1"/>
    <col min="11525" max="11525" width="5.25" style="3" customWidth="1"/>
    <col min="11526" max="11526" width="8.125" style="3" customWidth="1"/>
    <col min="11527" max="11527" width="1.625" style="3" customWidth="1"/>
    <col min="11528" max="11528" width="5.625" style="3" customWidth="1"/>
    <col min="11529" max="11529" width="1.625" style="3" customWidth="1"/>
    <col min="11530" max="11530" width="5.625" style="3" customWidth="1"/>
    <col min="11531" max="11531" width="1.625" style="3" customWidth="1"/>
    <col min="11532" max="11532" width="8.625" style="3" customWidth="1"/>
    <col min="11533" max="11535" width="0" style="3" hidden="1" customWidth="1"/>
    <col min="11536" max="11536" width="12.25" style="3" customWidth="1"/>
    <col min="11537" max="11537" width="6.625" style="3" customWidth="1"/>
    <col min="11538" max="11538" width="9.625" style="3" customWidth="1"/>
    <col min="11539" max="11540" width="7.625" style="3" customWidth="1"/>
    <col min="11541" max="11541" width="6.625" style="3" customWidth="1"/>
    <col min="11542" max="11542" width="14.625" style="3" customWidth="1"/>
    <col min="11543" max="11543" width="13.625" style="3" customWidth="1"/>
    <col min="11544" max="11544" width="0" style="3" hidden="1" customWidth="1"/>
    <col min="11545" max="11545" width="16.625" style="3" customWidth="1"/>
    <col min="11546" max="11546" width="3.625" style="3" customWidth="1"/>
    <col min="11547" max="11547" width="5.625" style="3" customWidth="1"/>
    <col min="11548" max="11548" width="6.625" style="3" customWidth="1"/>
    <col min="11549" max="11776" width="9" style="3"/>
    <col min="11777" max="11777" width="3.625" style="3" customWidth="1"/>
    <col min="11778" max="11779" width="12.625" style="3" customWidth="1"/>
    <col min="11780" max="11780" width="7.625" style="3" customWidth="1"/>
    <col min="11781" max="11781" width="5.25" style="3" customWidth="1"/>
    <col min="11782" max="11782" width="8.125" style="3" customWidth="1"/>
    <col min="11783" max="11783" width="1.625" style="3" customWidth="1"/>
    <col min="11784" max="11784" width="5.625" style="3" customWidth="1"/>
    <col min="11785" max="11785" width="1.625" style="3" customWidth="1"/>
    <col min="11786" max="11786" width="5.625" style="3" customWidth="1"/>
    <col min="11787" max="11787" width="1.625" style="3" customWidth="1"/>
    <col min="11788" max="11788" width="8.625" style="3" customWidth="1"/>
    <col min="11789" max="11791" width="0" style="3" hidden="1" customWidth="1"/>
    <col min="11792" max="11792" width="12.25" style="3" customWidth="1"/>
    <col min="11793" max="11793" width="6.625" style="3" customWidth="1"/>
    <col min="11794" max="11794" width="9.625" style="3" customWidth="1"/>
    <col min="11795" max="11796" width="7.625" style="3" customWidth="1"/>
    <col min="11797" max="11797" width="6.625" style="3" customWidth="1"/>
    <col min="11798" max="11798" width="14.625" style="3" customWidth="1"/>
    <col min="11799" max="11799" width="13.625" style="3" customWidth="1"/>
    <col min="11800" max="11800" width="0" style="3" hidden="1" customWidth="1"/>
    <col min="11801" max="11801" width="16.625" style="3" customWidth="1"/>
    <col min="11802" max="11802" width="3.625" style="3" customWidth="1"/>
    <col min="11803" max="11803" width="5.625" style="3" customWidth="1"/>
    <col min="11804" max="11804" width="6.625" style="3" customWidth="1"/>
    <col min="11805" max="12032" width="9" style="3"/>
    <col min="12033" max="12033" width="3.625" style="3" customWidth="1"/>
    <col min="12034" max="12035" width="12.625" style="3" customWidth="1"/>
    <col min="12036" max="12036" width="7.625" style="3" customWidth="1"/>
    <col min="12037" max="12037" width="5.25" style="3" customWidth="1"/>
    <col min="12038" max="12038" width="8.125" style="3" customWidth="1"/>
    <col min="12039" max="12039" width="1.625" style="3" customWidth="1"/>
    <col min="12040" max="12040" width="5.625" style="3" customWidth="1"/>
    <col min="12041" max="12041" width="1.625" style="3" customWidth="1"/>
    <col min="12042" max="12042" width="5.625" style="3" customWidth="1"/>
    <col min="12043" max="12043" width="1.625" style="3" customWidth="1"/>
    <col min="12044" max="12044" width="8.625" style="3" customWidth="1"/>
    <col min="12045" max="12047" width="0" style="3" hidden="1" customWidth="1"/>
    <col min="12048" max="12048" width="12.25" style="3" customWidth="1"/>
    <col min="12049" max="12049" width="6.625" style="3" customWidth="1"/>
    <col min="12050" max="12050" width="9.625" style="3" customWidth="1"/>
    <col min="12051" max="12052" width="7.625" style="3" customWidth="1"/>
    <col min="12053" max="12053" width="6.625" style="3" customWidth="1"/>
    <col min="12054" max="12054" width="14.625" style="3" customWidth="1"/>
    <col min="12055" max="12055" width="13.625" style="3" customWidth="1"/>
    <col min="12056" max="12056" width="0" style="3" hidden="1" customWidth="1"/>
    <col min="12057" max="12057" width="16.625" style="3" customWidth="1"/>
    <col min="12058" max="12058" width="3.625" style="3" customWidth="1"/>
    <col min="12059" max="12059" width="5.625" style="3" customWidth="1"/>
    <col min="12060" max="12060" width="6.625" style="3" customWidth="1"/>
    <col min="12061" max="12288" width="9" style="3"/>
    <col min="12289" max="12289" width="3.625" style="3" customWidth="1"/>
    <col min="12290" max="12291" width="12.625" style="3" customWidth="1"/>
    <col min="12292" max="12292" width="7.625" style="3" customWidth="1"/>
    <col min="12293" max="12293" width="5.25" style="3" customWidth="1"/>
    <col min="12294" max="12294" width="8.125" style="3" customWidth="1"/>
    <col min="12295" max="12295" width="1.625" style="3" customWidth="1"/>
    <col min="12296" max="12296" width="5.625" style="3" customWidth="1"/>
    <col min="12297" max="12297" width="1.625" style="3" customWidth="1"/>
    <col min="12298" max="12298" width="5.625" style="3" customWidth="1"/>
    <col min="12299" max="12299" width="1.625" style="3" customWidth="1"/>
    <col min="12300" max="12300" width="8.625" style="3" customWidth="1"/>
    <col min="12301" max="12303" width="0" style="3" hidden="1" customWidth="1"/>
    <col min="12304" max="12304" width="12.25" style="3" customWidth="1"/>
    <col min="12305" max="12305" width="6.625" style="3" customWidth="1"/>
    <col min="12306" max="12306" width="9.625" style="3" customWidth="1"/>
    <col min="12307" max="12308" width="7.625" style="3" customWidth="1"/>
    <col min="12309" max="12309" width="6.625" style="3" customWidth="1"/>
    <col min="12310" max="12310" width="14.625" style="3" customWidth="1"/>
    <col min="12311" max="12311" width="13.625" style="3" customWidth="1"/>
    <col min="12312" max="12312" width="0" style="3" hidden="1" customWidth="1"/>
    <col min="12313" max="12313" width="16.625" style="3" customWidth="1"/>
    <col min="12314" max="12314" width="3.625" style="3" customWidth="1"/>
    <col min="12315" max="12315" width="5.625" style="3" customWidth="1"/>
    <col min="12316" max="12316" width="6.625" style="3" customWidth="1"/>
    <col min="12317" max="12544" width="9" style="3"/>
    <col min="12545" max="12545" width="3.625" style="3" customWidth="1"/>
    <col min="12546" max="12547" width="12.625" style="3" customWidth="1"/>
    <col min="12548" max="12548" width="7.625" style="3" customWidth="1"/>
    <col min="12549" max="12549" width="5.25" style="3" customWidth="1"/>
    <col min="12550" max="12550" width="8.125" style="3" customWidth="1"/>
    <col min="12551" max="12551" width="1.625" style="3" customWidth="1"/>
    <col min="12552" max="12552" width="5.625" style="3" customWidth="1"/>
    <col min="12553" max="12553" width="1.625" style="3" customWidth="1"/>
    <col min="12554" max="12554" width="5.625" style="3" customWidth="1"/>
    <col min="12555" max="12555" width="1.625" style="3" customWidth="1"/>
    <col min="12556" max="12556" width="8.625" style="3" customWidth="1"/>
    <col min="12557" max="12559" width="0" style="3" hidden="1" customWidth="1"/>
    <col min="12560" max="12560" width="12.25" style="3" customWidth="1"/>
    <col min="12561" max="12561" width="6.625" style="3" customWidth="1"/>
    <col min="12562" max="12562" width="9.625" style="3" customWidth="1"/>
    <col min="12563" max="12564" width="7.625" style="3" customWidth="1"/>
    <col min="12565" max="12565" width="6.625" style="3" customWidth="1"/>
    <col min="12566" max="12566" width="14.625" style="3" customWidth="1"/>
    <col min="12567" max="12567" width="13.625" style="3" customWidth="1"/>
    <col min="12568" max="12568" width="0" style="3" hidden="1" customWidth="1"/>
    <col min="12569" max="12569" width="16.625" style="3" customWidth="1"/>
    <col min="12570" max="12570" width="3.625" style="3" customWidth="1"/>
    <col min="12571" max="12571" width="5.625" style="3" customWidth="1"/>
    <col min="12572" max="12572" width="6.625" style="3" customWidth="1"/>
    <col min="12573" max="12800" width="9" style="3"/>
    <col min="12801" max="12801" width="3.625" style="3" customWidth="1"/>
    <col min="12802" max="12803" width="12.625" style="3" customWidth="1"/>
    <col min="12804" max="12804" width="7.625" style="3" customWidth="1"/>
    <col min="12805" max="12805" width="5.25" style="3" customWidth="1"/>
    <col min="12806" max="12806" width="8.125" style="3" customWidth="1"/>
    <col min="12807" max="12807" width="1.625" style="3" customWidth="1"/>
    <col min="12808" max="12808" width="5.625" style="3" customWidth="1"/>
    <col min="12809" max="12809" width="1.625" style="3" customWidth="1"/>
    <col min="12810" max="12810" width="5.625" style="3" customWidth="1"/>
    <col min="12811" max="12811" width="1.625" style="3" customWidth="1"/>
    <col min="12812" max="12812" width="8.625" style="3" customWidth="1"/>
    <col min="12813" max="12815" width="0" style="3" hidden="1" customWidth="1"/>
    <col min="12816" max="12816" width="12.25" style="3" customWidth="1"/>
    <col min="12817" max="12817" width="6.625" style="3" customWidth="1"/>
    <col min="12818" max="12818" width="9.625" style="3" customWidth="1"/>
    <col min="12819" max="12820" width="7.625" style="3" customWidth="1"/>
    <col min="12821" max="12821" width="6.625" style="3" customWidth="1"/>
    <col min="12822" max="12822" width="14.625" style="3" customWidth="1"/>
    <col min="12823" max="12823" width="13.625" style="3" customWidth="1"/>
    <col min="12824" max="12824" width="0" style="3" hidden="1" customWidth="1"/>
    <col min="12825" max="12825" width="16.625" style="3" customWidth="1"/>
    <col min="12826" max="12826" width="3.625" style="3" customWidth="1"/>
    <col min="12827" max="12827" width="5.625" style="3" customWidth="1"/>
    <col min="12828" max="12828" width="6.625" style="3" customWidth="1"/>
    <col min="12829" max="13056" width="9" style="3"/>
    <col min="13057" max="13057" width="3.625" style="3" customWidth="1"/>
    <col min="13058" max="13059" width="12.625" style="3" customWidth="1"/>
    <col min="13060" max="13060" width="7.625" style="3" customWidth="1"/>
    <col min="13061" max="13061" width="5.25" style="3" customWidth="1"/>
    <col min="13062" max="13062" width="8.125" style="3" customWidth="1"/>
    <col min="13063" max="13063" width="1.625" style="3" customWidth="1"/>
    <col min="13064" max="13064" width="5.625" style="3" customWidth="1"/>
    <col min="13065" max="13065" width="1.625" style="3" customWidth="1"/>
    <col min="13066" max="13066" width="5.625" style="3" customWidth="1"/>
    <col min="13067" max="13067" width="1.625" style="3" customWidth="1"/>
    <col min="13068" max="13068" width="8.625" style="3" customWidth="1"/>
    <col min="13069" max="13071" width="0" style="3" hidden="1" customWidth="1"/>
    <col min="13072" max="13072" width="12.25" style="3" customWidth="1"/>
    <col min="13073" max="13073" width="6.625" style="3" customWidth="1"/>
    <col min="13074" max="13074" width="9.625" style="3" customWidth="1"/>
    <col min="13075" max="13076" width="7.625" style="3" customWidth="1"/>
    <col min="13077" max="13077" width="6.625" style="3" customWidth="1"/>
    <col min="13078" max="13078" width="14.625" style="3" customWidth="1"/>
    <col min="13079" max="13079" width="13.625" style="3" customWidth="1"/>
    <col min="13080" max="13080" width="0" style="3" hidden="1" customWidth="1"/>
    <col min="13081" max="13081" width="16.625" style="3" customWidth="1"/>
    <col min="13082" max="13082" width="3.625" style="3" customWidth="1"/>
    <col min="13083" max="13083" width="5.625" style="3" customWidth="1"/>
    <col min="13084" max="13084" width="6.625" style="3" customWidth="1"/>
    <col min="13085" max="13312" width="9" style="3"/>
    <col min="13313" max="13313" width="3.625" style="3" customWidth="1"/>
    <col min="13314" max="13315" width="12.625" style="3" customWidth="1"/>
    <col min="13316" max="13316" width="7.625" style="3" customWidth="1"/>
    <col min="13317" max="13317" width="5.25" style="3" customWidth="1"/>
    <col min="13318" max="13318" width="8.125" style="3" customWidth="1"/>
    <col min="13319" max="13319" width="1.625" style="3" customWidth="1"/>
    <col min="13320" max="13320" width="5.625" style="3" customWidth="1"/>
    <col min="13321" max="13321" width="1.625" style="3" customWidth="1"/>
    <col min="13322" max="13322" width="5.625" style="3" customWidth="1"/>
    <col min="13323" max="13323" width="1.625" style="3" customWidth="1"/>
    <col min="13324" max="13324" width="8.625" style="3" customWidth="1"/>
    <col min="13325" max="13327" width="0" style="3" hidden="1" customWidth="1"/>
    <col min="13328" max="13328" width="12.25" style="3" customWidth="1"/>
    <col min="13329" max="13329" width="6.625" style="3" customWidth="1"/>
    <col min="13330" max="13330" width="9.625" style="3" customWidth="1"/>
    <col min="13331" max="13332" width="7.625" style="3" customWidth="1"/>
    <col min="13333" max="13333" width="6.625" style="3" customWidth="1"/>
    <col min="13334" max="13334" width="14.625" style="3" customWidth="1"/>
    <col min="13335" max="13335" width="13.625" style="3" customWidth="1"/>
    <col min="13336" max="13336" width="0" style="3" hidden="1" customWidth="1"/>
    <col min="13337" max="13337" width="16.625" style="3" customWidth="1"/>
    <col min="13338" max="13338" width="3.625" style="3" customWidth="1"/>
    <col min="13339" max="13339" width="5.625" style="3" customWidth="1"/>
    <col min="13340" max="13340" width="6.625" style="3" customWidth="1"/>
    <col min="13341" max="13568" width="9" style="3"/>
    <col min="13569" max="13569" width="3.625" style="3" customWidth="1"/>
    <col min="13570" max="13571" width="12.625" style="3" customWidth="1"/>
    <col min="13572" max="13572" width="7.625" style="3" customWidth="1"/>
    <col min="13573" max="13573" width="5.25" style="3" customWidth="1"/>
    <col min="13574" max="13574" width="8.125" style="3" customWidth="1"/>
    <col min="13575" max="13575" width="1.625" style="3" customWidth="1"/>
    <col min="13576" max="13576" width="5.625" style="3" customWidth="1"/>
    <col min="13577" max="13577" width="1.625" style="3" customWidth="1"/>
    <col min="13578" max="13578" width="5.625" style="3" customWidth="1"/>
    <col min="13579" max="13579" width="1.625" style="3" customWidth="1"/>
    <col min="13580" max="13580" width="8.625" style="3" customWidth="1"/>
    <col min="13581" max="13583" width="0" style="3" hidden="1" customWidth="1"/>
    <col min="13584" max="13584" width="12.25" style="3" customWidth="1"/>
    <col min="13585" max="13585" width="6.625" style="3" customWidth="1"/>
    <col min="13586" max="13586" width="9.625" style="3" customWidth="1"/>
    <col min="13587" max="13588" width="7.625" style="3" customWidth="1"/>
    <col min="13589" max="13589" width="6.625" style="3" customWidth="1"/>
    <col min="13590" max="13590" width="14.625" style="3" customWidth="1"/>
    <col min="13591" max="13591" width="13.625" style="3" customWidth="1"/>
    <col min="13592" max="13592" width="0" style="3" hidden="1" customWidth="1"/>
    <col min="13593" max="13593" width="16.625" style="3" customWidth="1"/>
    <col min="13594" max="13594" width="3.625" style="3" customWidth="1"/>
    <col min="13595" max="13595" width="5.625" style="3" customWidth="1"/>
    <col min="13596" max="13596" width="6.625" style="3" customWidth="1"/>
    <col min="13597" max="13824" width="9" style="3"/>
    <col min="13825" max="13825" width="3.625" style="3" customWidth="1"/>
    <col min="13826" max="13827" width="12.625" style="3" customWidth="1"/>
    <col min="13828" max="13828" width="7.625" style="3" customWidth="1"/>
    <col min="13829" max="13829" width="5.25" style="3" customWidth="1"/>
    <col min="13830" max="13830" width="8.125" style="3" customWidth="1"/>
    <col min="13831" max="13831" width="1.625" style="3" customWidth="1"/>
    <col min="13832" max="13832" width="5.625" style="3" customWidth="1"/>
    <col min="13833" max="13833" width="1.625" style="3" customWidth="1"/>
    <col min="13834" max="13834" width="5.625" style="3" customWidth="1"/>
    <col min="13835" max="13835" width="1.625" style="3" customWidth="1"/>
    <col min="13836" max="13836" width="8.625" style="3" customWidth="1"/>
    <col min="13837" max="13839" width="0" style="3" hidden="1" customWidth="1"/>
    <col min="13840" max="13840" width="12.25" style="3" customWidth="1"/>
    <col min="13841" max="13841" width="6.625" style="3" customWidth="1"/>
    <col min="13842" max="13842" width="9.625" style="3" customWidth="1"/>
    <col min="13843" max="13844" width="7.625" style="3" customWidth="1"/>
    <col min="13845" max="13845" width="6.625" style="3" customWidth="1"/>
    <col min="13846" max="13846" width="14.625" style="3" customWidth="1"/>
    <col min="13847" max="13847" width="13.625" style="3" customWidth="1"/>
    <col min="13848" max="13848" width="0" style="3" hidden="1" customWidth="1"/>
    <col min="13849" max="13849" width="16.625" style="3" customWidth="1"/>
    <col min="13850" max="13850" width="3.625" style="3" customWidth="1"/>
    <col min="13851" max="13851" width="5.625" style="3" customWidth="1"/>
    <col min="13852" max="13852" width="6.625" style="3" customWidth="1"/>
    <col min="13853" max="14080" width="9" style="3"/>
    <col min="14081" max="14081" width="3.625" style="3" customWidth="1"/>
    <col min="14082" max="14083" width="12.625" style="3" customWidth="1"/>
    <col min="14084" max="14084" width="7.625" style="3" customWidth="1"/>
    <col min="14085" max="14085" width="5.25" style="3" customWidth="1"/>
    <col min="14086" max="14086" width="8.125" style="3" customWidth="1"/>
    <col min="14087" max="14087" width="1.625" style="3" customWidth="1"/>
    <col min="14088" max="14088" width="5.625" style="3" customWidth="1"/>
    <col min="14089" max="14089" width="1.625" style="3" customWidth="1"/>
    <col min="14090" max="14090" width="5.625" style="3" customWidth="1"/>
    <col min="14091" max="14091" width="1.625" style="3" customWidth="1"/>
    <col min="14092" max="14092" width="8.625" style="3" customWidth="1"/>
    <col min="14093" max="14095" width="0" style="3" hidden="1" customWidth="1"/>
    <col min="14096" max="14096" width="12.25" style="3" customWidth="1"/>
    <col min="14097" max="14097" width="6.625" style="3" customWidth="1"/>
    <col min="14098" max="14098" width="9.625" style="3" customWidth="1"/>
    <col min="14099" max="14100" width="7.625" style="3" customWidth="1"/>
    <col min="14101" max="14101" width="6.625" style="3" customWidth="1"/>
    <col min="14102" max="14102" width="14.625" style="3" customWidth="1"/>
    <col min="14103" max="14103" width="13.625" style="3" customWidth="1"/>
    <col min="14104" max="14104" width="0" style="3" hidden="1" customWidth="1"/>
    <col min="14105" max="14105" width="16.625" style="3" customWidth="1"/>
    <col min="14106" max="14106" width="3.625" style="3" customWidth="1"/>
    <col min="14107" max="14107" width="5.625" style="3" customWidth="1"/>
    <col min="14108" max="14108" width="6.625" style="3" customWidth="1"/>
    <col min="14109" max="14336" width="9" style="3"/>
    <col min="14337" max="14337" width="3.625" style="3" customWidth="1"/>
    <col min="14338" max="14339" width="12.625" style="3" customWidth="1"/>
    <col min="14340" max="14340" width="7.625" style="3" customWidth="1"/>
    <col min="14341" max="14341" width="5.25" style="3" customWidth="1"/>
    <col min="14342" max="14342" width="8.125" style="3" customWidth="1"/>
    <col min="14343" max="14343" width="1.625" style="3" customWidth="1"/>
    <col min="14344" max="14344" width="5.625" style="3" customWidth="1"/>
    <col min="14345" max="14345" width="1.625" style="3" customWidth="1"/>
    <col min="14346" max="14346" width="5.625" style="3" customWidth="1"/>
    <col min="14347" max="14347" width="1.625" style="3" customWidth="1"/>
    <col min="14348" max="14348" width="8.625" style="3" customWidth="1"/>
    <col min="14349" max="14351" width="0" style="3" hidden="1" customWidth="1"/>
    <col min="14352" max="14352" width="12.25" style="3" customWidth="1"/>
    <col min="14353" max="14353" width="6.625" style="3" customWidth="1"/>
    <col min="14354" max="14354" width="9.625" style="3" customWidth="1"/>
    <col min="14355" max="14356" width="7.625" style="3" customWidth="1"/>
    <col min="14357" max="14357" width="6.625" style="3" customWidth="1"/>
    <col min="14358" max="14358" width="14.625" style="3" customWidth="1"/>
    <col min="14359" max="14359" width="13.625" style="3" customWidth="1"/>
    <col min="14360" max="14360" width="0" style="3" hidden="1" customWidth="1"/>
    <col min="14361" max="14361" width="16.625" style="3" customWidth="1"/>
    <col min="14362" max="14362" width="3.625" style="3" customWidth="1"/>
    <col min="14363" max="14363" width="5.625" style="3" customWidth="1"/>
    <col min="14364" max="14364" width="6.625" style="3" customWidth="1"/>
    <col min="14365" max="14592" width="9" style="3"/>
    <col min="14593" max="14593" width="3.625" style="3" customWidth="1"/>
    <col min="14594" max="14595" width="12.625" style="3" customWidth="1"/>
    <col min="14596" max="14596" width="7.625" style="3" customWidth="1"/>
    <col min="14597" max="14597" width="5.25" style="3" customWidth="1"/>
    <col min="14598" max="14598" width="8.125" style="3" customWidth="1"/>
    <col min="14599" max="14599" width="1.625" style="3" customWidth="1"/>
    <col min="14600" max="14600" width="5.625" style="3" customWidth="1"/>
    <col min="14601" max="14601" width="1.625" style="3" customWidth="1"/>
    <col min="14602" max="14602" width="5.625" style="3" customWidth="1"/>
    <col min="14603" max="14603" width="1.625" style="3" customWidth="1"/>
    <col min="14604" max="14604" width="8.625" style="3" customWidth="1"/>
    <col min="14605" max="14607" width="0" style="3" hidden="1" customWidth="1"/>
    <col min="14608" max="14608" width="12.25" style="3" customWidth="1"/>
    <col min="14609" max="14609" width="6.625" style="3" customWidth="1"/>
    <col min="14610" max="14610" width="9.625" style="3" customWidth="1"/>
    <col min="14611" max="14612" width="7.625" style="3" customWidth="1"/>
    <col min="14613" max="14613" width="6.625" style="3" customWidth="1"/>
    <col min="14614" max="14614" width="14.625" style="3" customWidth="1"/>
    <col min="14615" max="14615" width="13.625" style="3" customWidth="1"/>
    <col min="14616" max="14616" width="0" style="3" hidden="1" customWidth="1"/>
    <col min="14617" max="14617" width="16.625" style="3" customWidth="1"/>
    <col min="14618" max="14618" width="3.625" style="3" customWidth="1"/>
    <col min="14619" max="14619" width="5.625" style="3" customWidth="1"/>
    <col min="14620" max="14620" width="6.625" style="3" customWidth="1"/>
    <col min="14621" max="14848" width="9" style="3"/>
    <col min="14849" max="14849" width="3.625" style="3" customWidth="1"/>
    <col min="14850" max="14851" width="12.625" style="3" customWidth="1"/>
    <col min="14852" max="14852" width="7.625" style="3" customWidth="1"/>
    <col min="14853" max="14853" width="5.25" style="3" customWidth="1"/>
    <col min="14854" max="14854" width="8.125" style="3" customWidth="1"/>
    <col min="14855" max="14855" width="1.625" style="3" customWidth="1"/>
    <col min="14856" max="14856" width="5.625" style="3" customWidth="1"/>
    <col min="14857" max="14857" width="1.625" style="3" customWidth="1"/>
    <col min="14858" max="14858" width="5.625" style="3" customWidth="1"/>
    <col min="14859" max="14859" width="1.625" style="3" customWidth="1"/>
    <col min="14860" max="14860" width="8.625" style="3" customWidth="1"/>
    <col min="14861" max="14863" width="0" style="3" hidden="1" customWidth="1"/>
    <col min="14864" max="14864" width="12.25" style="3" customWidth="1"/>
    <col min="14865" max="14865" width="6.625" style="3" customWidth="1"/>
    <col min="14866" max="14866" width="9.625" style="3" customWidth="1"/>
    <col min="14867" max="14868" width="7.625" style="3" customWidth="1"/>
    <col min="14869" max="14869" width="6.625" style="3" customWidth="1"/>
    <col min="14870" max="14870" width="14.625" style="3" customWidth="1"/>
    <col min="14871" max="14871" width="13.625" style="3" customWidth="1"/>
    <col min="14872" max="14872" width="0" style="3" hidden="1" customWidth="1"/>
    <col min="14873" max="14873" width="16.625" style="3" customWidth="1"/>
    <col min="14874" max="14874" width="3.625" style="3" customWidth="1"/>
    <col min="14875" max="14875" width="5.625" style="3" customWidth="1"/>
    <col min="14876" max="14876" width="6.625" style="3" customWidth="1"/>
    <col min="14877" max="15104" width="9" style="3"/>
    <col min="15105" max="15105" width="3.625" style="3" customWidth="1"/>
    <col min="15106" max="15107" width="12.625" style="3" customWidth="1"/>
    <col min="15108" max="15108" width="7.625" style="3" customWidth="1"/>
    <col min="15109" max="15109" width="5.25" style="3" customWidth="1"/>
    <col min="15110" max="15110" width="8.125" style="3" customWidth="1"/>
    <col min="15111" max="15111" width="1.625" style="3" customWidth="1"/>
    <col min="15112" max="15112" width="5.625" style="3" customWidth="1"/>
    <col min="15113" max="15113" width="1.625" style="3" customWidth="1"/>
    <col min="15114" max="15114" width="5.625" style="3" customWidth="1"/>
    <col min="15115" max="15115" width="1.625" style="3" customWidth="1"/>
    <col min="15116" max="15116" width="8.625" style="3" customWidth="1"/>
    <col min="15117" max="15119" width="0" style="3" hidden="1" customWidth="1"/>
    <col min="15120" max="15120" width="12.25" style="3" customWidth="1"/>
    <col min="15121" max="15121" width="6.625" style="3" customWidth="1"/>
    <col min="15122" max="15122" width="9.625" style="3" customWidth="1"/>
    <col min="15123" max="15124" width="7.625" style="3" customWidth="1"/>
    <col min="15125" max="15125" width="6.625" style="3" customWidth="1"/>
    <col min="15126" max="15126" width="14.625" style="3" customWidth="1"/>
    <col min="15127" max="15127" width="13.625" style="3" customWidth="1"/>
    <col min="15128" max="15128" width="0" style="3" hidden="1" customWidth="1"/>
    <col min="15129" max="15129" width="16.625" style="3" customWidth="1"/>
    <col min="15130" max="15130" width="3.625" style="3" customWidth="1"/>
    <col min="15131" max="15131" width="5.625" style="3" customWidth="1"/>
    <col min="15132" max="15132" width="6.625" style="3" customWidth="1"/>
    <col min="15133" max="15360" width="9" style="3"/>
    <col min="15361" max="15361" width="3.625" style="3" customWidth="1"/>
    <col min="15362" max="15363" width="12.625" style="3" customWidth="1"/>
    <col min="15364" max="15364" width="7.625" style="3" customWidth="1"/>
    <col min="15365" max="15365" width="5.25" style="3" customWidth="1"/>
    <col min="15366" max="15366" width="8.125" style="3" customWidth="1"/>
    <col min="15367" max="15367" width="1.625" style="3" customWidth="1"/>
    <col min="15368" max="15368" width="5.625" style="3" customWidth="1"/>
    <col min="15369" max="15369" width="1.625" style="3" customWidth="1"/>
    <col min="15370" max="15370" width="5.625" style="3" customWidth="1"/>
    <col min="15371" max="15371" width="1.625" style="3" customWidth="1"/>
    <col min="15372" max="15372" width="8.625" style="3" customWidth="1"/>
    <col min="15373" max="15375" width="0" style="3" hidden="1" customWidth="1"/>
    <col min="15376" max="15376" width="12.25" style="3" customWidth="1"/>
    <col min="15377" max="15377" width="6.625" style="3" customWidth="1"/>
    <col min="15378" max="15378" width="9.625" style="3" customWidth="1"/>
    <col min="15379" max="15380" width="7.625" style="3" customWidth="1"/>
    <col min="15381" max="15381" width="6.625" style="3" customWidth="1"/>
    <col min="15382" max="15382" width="14.625" style="3" customWidth="1"/>
    <col min="15383" max="15383" width="13.625" style="3" customWidth="1"/>
    <col min="15384" max="15384" width="0" style="3" hidden="1" customWidth="1"/>
    <col min="15385" max="15385" width="16.625" style="3" customWidth="1"/>
    <col min="15386" max="15386" width="3.625" style="3" customWidth="1"/>
    <col min="15387" max="15387" width="5.625" style="3" customWidth="1"/>
    <col min="15388" max="15388" width="6.625" style="3" customWidth="1"/>
    <col min="15389" max="15616" width="9" style="3"/>
    <col min="15617" max="15617" width="3.625" style="3" customWidth="1"/>
    <col min="15618" max="15619" width="12.625" style="3" customWidth="1"/>
    <col min="15620" max="15620" width="7.625" style="3" customWidth="1"/>
    <col min="15621" max="15621" width="5.25" style="3" customWidth="1"/>
    <col min="15622" max="15622" width="8.125" style="3" customWidth="1"/>
    <col min="15623" max="15623" width="1.625" style="3" customWidth="1"/>
    <col min="15624" max="15624" width="5.625" style="3" customWidth="1"/>
    <col min="15625" max="15625" width="1.625" style="3" customWidth="1"/>
    <col min="15626" max="15626" width="5.625" style="3" customWidth="1"/>
    <col min="15627" max="15627" width="1.625" style="3" customWidth="1"/>
    <col min="15628" max="15628" width="8.625" style="3" customWidth="1"/>
    <col min="15629" max="15631" width="0" style="3" hidden="1" customWidth="1"/>
    <col min="15632" max="15632" width="12.25" style="3" customWidth="1"/>
    <col min="15633" max="15633" width="6.625" style="3" customWidth="1"/>
    <col min="15634" max="15634" width="9.625" style="3" customWidth="1"/>
    <col min="15635" max="15636" width="7.625" style="3" customWidth="1"/>
    <col min="15637" max="15637" width="6.625" style="3" customWidth="1"/>
    <col min="15638" max="15638" width="14.625" style="3" customWidth="1"/>
    <col min="15639" max="15639" width="13.625" style="3" customWidth="1"/>
    <col min="15640" max="15640" width="0" style="3" hidden="1" customWidth="1"/>
    <col min="15641" max="15641" width="16.625" style="3" customWidth="1"/>
    <col min="15642" max="15642" width="3.625" style="3" customWidth="1"/>
    <col min="15643" max="15643" width="5.625" style="3" customWidth="1"/>
    <col min="15644" max="15644" width="6.625" style="3" customWidth="1"/>
    <col min="15645" max="15872" width="9" style="3"/>
    <col min="15873" max="15873" width="3.625" style="3" customWidth="1"/>
    <col min="15874" max="15875" width="12.625" style="3" customWidth="1"/>
    <col min="15876" max="15876" width="7.625" style="3" customWidth="1"/>
    <col min="15877" max="15877" width="5.25" style="3" customWidth="1"/>
    <col min="15878" max="15878" width="8.125" style="3" customWidth="1"/>
    <col min="15879" max="15879" width="1.625" style="3" customWidth="1"/>
    <col min="15880" max="15880" width="5.625" style="3" customWidth="1"/>
    <col min="15881" max="15881" width="1.625" style="3" customWidth="1"/>
    <col min="15882" max="15882" width="5.625" style="3" customWidth="1"/>
    <col min="15883" max="15883" width="1.625" style="3" customWidth="1"/>
    <col min="15884" max="15884" width="8.625" style="3" customWidth="1"/>
    <col min="15885" max="15887" width="0" style="3" hidden="1" customWidth="1"/>
    <col min="15888" max="15888" width="12.25" style="3" customWidth="1"/>
    <col min="15889" max="15889" width="6.625" style="3" customWidth="1"/>
    <col min="15890" max="15890" width="9.625" style="3" customWidth="1"/>
    <col min="15891" max="15892" width="7.625" style="3" customWidth="1"/>
    <col min="15893" max="15893" width="6.625" style="3" customWidth="1"/>
    <col min="15894" max="15894" width="14.625" style="3" customWidth="1"/>
    <col min="15895" max="15895" width="13.625" style="3" customWidth="1"/>
    <col min="15896" max="15896" width="0" style="3" hidden="1" customWidth="1"/>
    <col min="15897" max="15897" width="16.625" style="3" customWidth="1"/>
    <col min="15898" max="15898" width="3.625" style="3" customWidth="1"/>
    <col min="15899" max="15899" width="5.625" style="3" customWidth="1"/>
    <col min="15900" max="15900" width="6.625" style="3" customWidth="1"/>
    <col min="15901" max="16128" width="9" style="3"/>
    <col min="16129" max="16129" width="3.625" style="3" customWidth="1"/>
    <col min="16130" max="16131" width="12.625" style="3" customWidth="1"/>
    <col min="16132" max="16132" width="7.625" style="3" customWidth="1"/>
    <col min="16133" max="16133" width="5.25" style="3" customWidth="1"/>
    <col min="16134" max="16134" width="8.125" style="3" customWidth="1"/>
    <col min="16135" max="16135" width="1.625" style="3" customWidth="1"/>
    <col min="16136" max="16136" width="5.625" style="3" customWidth="1"/>
    <col min="16137" max="16137" width="1.625" style="3" customWidth="1"/>
    <col min="16138" max="16138" width="5.625" style="3" customWidth="1"/>
    <col min="16139" max="16139" width="1.625" style="3" customWidth="1"/>
    <col min="16140" max="16140" width="8.625" style="3" customWidth="1"/>
    <col min="16141" max="16143" width="0" style="3" hidden="1" customWidth="1"/>
    <col min="16144" max="16144" width="12.25" style="3" customWidth="1"/>
    <col min="16145" max="16145" width="6.625" style="3" customWidth="1"/>
    <col min="16146" max="16146" width="9.625" style="3" customWidth="1"/>
    <col min="16147" max="16148" width="7.625" style="3" customWidth="1"/>
    <col min="16149" max="16149" width="6.625" style="3" customWidth="1"/>
    <col min="16150" max="16150" width="14.625" style="3" customWidth="1"/>
    <col min="16151" max="16151" width="13.625" style="3" customWidth="1"/>
    <col min="16152" max="16152" width="0" style="3" hidden="1" customWidth="1"/>
    <col min="16153" max="16153" width="16.625" style="3" customWidth="1"/>
    <col min="16154" max="16154" width="3.625" style="3" customWidth="1"/>
    <col min="16155" max="16155" width="5.625" style="3" customWidth="1"/>
    <col min="16156" max="16156" width="6.625" style="3" customWidth="1"/>
    <col min="16157" max="16384" width="9" style="3"/>
  </cols>
  <sheetData>
    <row r="1" spans="1:31" ht="13.5" customHeight="1" x14ac:dyDescent="0.15">
      <c r="A1" s="373" t="s">
        <v>137</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129"/>
      <c r="AC1" s="129"/>
      <c r="AD1" s="129"/>
      <c r="AE1" s="129"/>
    </row>
    <row r="2" spans="1:31" ht="13.5" customHeight="1" x14ac:dyDescent="0.15">
      <c r="C2" s="208"/>
      <c r="D2" s="208"/>
      <c r="E2" s="208"/>
      <c r="F2" s="208"/>
      <c r="G2" s="208"/>
      <c r="H2" s="208"/>
      <c r="I2" s="208"/>
      <c r="J2" s="208"/>
      <c r="K2" s="130"/>
      <c r="W2" s="209"/>
      <c r="X2" s="209"/>
      <c r="Y2" s="209"/>
      <c r="Z2" s="209"/>
      <c r="AA2" s="577"/>
      <c r="AB2" s="209"/>
    </row>
    <row r="3" spans="1:31" ht="13.5" customHeight="1" x14ac:dyDescent="0.15">
      <c r="C3" s="208"/>
      <c r="D3" s="208"/>
      <c r="E3" s="208"/>
      <c r="F3" s="208"/>
      <c r="G3" s="208"/>
      <c r="H3" s="208"/>
      <c r="I3" s="208"/>
      <c r="J3" s="208"/>
      <c r="K3" s="130"/>
      <c r="T3" s="209"/>
      <c r="U3" s="209"/>
      <c r="V3" s="209"/>
      <c r="W3" s="209"/>
      <c r="X3" s="209"/>
      <c r="Y3" s="209"/>
      <c r="Z3" s="209"/>
      <c r="AA3" s="577"/>
      <c r="AB3" s="209"/>
    </row>
    <row r="4" spans="1:31" ht="13.5" customHeight="1" x14ac:dyDescent="0.15">
      <c r="C4" s="208"/>
      <c r="D4" s="208"/>
      <c r="E4" s="208"/>
      <c r="F4" s="208"/>
      <c r="G4" s="208"/>
      <c r="H4" s="208"/>
      <c r="I4" s="208"/>
      <c r="J4" s="208"/>
      <c r="K4" s="130"/>
      <c r="X4" s="211"/>
      <c r="Y4" s="211"/>
      <c r="Z4" s="211"/>
      <c r="AA4" s="211"/>
      <c r="AB4" s="211"/>
    </row>
    <row r="5" spans="1:31" ht="13.5" customHeight="1" x14ac:dyDescent="0.15">
      <c r="C5" s="208"/>
      <c r="D5" s="208"/>
      <c r="E5" s="208"/>
      <c r="F5" s="208"/>
      <c r="G5" s="208"/>
      <c r="H5" s="208"/>
      <c r="I5" s="208"/>
      <c r="J5" s="208"/>
      <c r="K5" s="130"/>
      <c r="W5" s="209"/>
      <c r="X5" s="209"/>
      <c r="Y5" s="209"/>
      <c r="Z5" s="209"/>
      <c r="AA5" s="209"/>
      <c r="AB5" s="209"/>
    </row>
    <row r="6" spans="1:31" ht="13.5" customHeight="1" x14ac:dyDescent="0.15">
      <c r="C6" s="208"/>
      <c r="D6" s="208"/>
      <c r="E6" s="208"/>
      <c r="F6" s="208"/>
      <c r="G6" s="208"/>
      <c r="H6" s="208"/>
      <c r="I6" s="208"/>
      <c r="J6" s="208"/>
      <c r="K6" s="130"/>
      <c r="W6" s="209"/>
      <c r="X6" s="209"/>
      <c r="Y6" s="209"/>
      <c r="Z6" s="209"/>
      <c r="AA6" s="209"/>
      <c r="AB6" s="209"/>
    </row>
    <row r="7" spans="1:31" ht="18.75" customHeight="1" x14ac:dyDescent="0.15">
      <c r="B7" s="507"/>
      <c r="C7" s="507"/>
      <c r="D7" s="507"/>
      <c r="E7" s="507"/>
      <c r="F7" s="210" t="s">
        <v>72</v>
      </c>
      <c r="H7" s="212"/>
      <c r="I7" s="212"/>
      <c r="K7" s="132"/>
      <c r="P7" s="11" t="s">
        <v>138</v>
      </c>
    </row>
    <row r="8" spans="1:31" ht="14.25" x14ac:dyDescent="0.15">
      <c r="C8" s="213"/>
      <c r="D8" s="213"/>
      <c r="E8" s="213"/>
      <c r="F8" s="213"/>
      <c r="G8" s="213"/>
      <c r="H8" s="213"/>
      <c r="I8" s="9"/>
      <c r="J8" s="130"/>
      <c r="K8" s="130"/>
      <c r="R8" s="134"/>
      <c r="S8" s="134"/>
      <c r="T8" s="134"/>
      <c r="V8" s="141"/>
      <c r="W8" s="141"/>
      <c r="X8" s="141"/>
      <c r="Y8" s="141"/>
      <c r="Z8" s="141"/>
      <c r="AA8" s="141"/>
      <c r="AB8" s="141"/>
      <c r="AC8" s="141"/>
    </row>
    <row r="9" spans="1:31" ht="42.95" customHeight="1" x14ac:dyDescent="0.15">
      <c r="C9" s="9"/>
      <c r="D9" s="9"/>
      <c r="E9" s="9"/>
      <c r="F9" s="9"/>
      <c r="G9" s="9"/>
      <c r="H9" s="9"/>
      <c r="I9" s="9"/>
      <c r="J9" s="130"/>
      <c r="K9" s="130"/>
      <c r="R9" s="134"/>
      <c r="S9" s="134"/>
      <c r="T9" s="134"/>
      <c r="V9" s="141"/>
      <c r="W9" s="141"/>
      <c r="X9" s="141"/>
      <c r="Y9" s="141"/>
      <c r="Z9" s="141"/>
      <c r="AA9" s="141"/>
      <c r="AB9" s="141"/>
    </row>
    <row r="10" spans="1:31" s="16" customFormat="1" ht="11.25" x14ac:dyDescent="0.15">
      <c r="B10" s="214" t="s">
        <v>139</v>
      </c>
      <c r="C10" s="214"/>
      <c r="D10" s="209"/>
      <c r="E10" s="209"/>
      <c r="F10" s="209"/>
      <c r="G10" s="209"/>
      <c r="H10" s="209"/>
      <c r="I10" s="209"/>
      <c r="J10" s="209"/>
      <c r="K10" s="209"/>
      <c r="L10" s="209"/>
      <c r="M10" s="209"/>
      <c r="N10" s="209"/>
      <c r="O10" s="209"/>
      <c r="P10" s="209"/>
      <c r="Q10" s="209"/>
      <c r="R10" s="209"/>
      <c r="S10" s="209"/>
      <c r="T10" s="209"/>
      <c r="U10" s="209"/>
      <c r="V10" s="209"/>
      <c r="X10" s="209"/>
      <c r="Y10" s="209"/>
      <c r="Z10" s="209"/>
      <c r="AA10" s="209"/>
      <c r="AB10" s="209"/>
    </row>
    <row r="11" spans="1:31" s="16" customFormat="1" ht="14.25" x14ac:dyDescent="0.15">
      <c r="B11" s="214" t="s">
        <v>140</v>
      </c>
      <c r="C11" s="214"/>
      <c r="D11" s="209"/>
      <c r="E11" s="209"/>
      <c r="F11" s="209"/>
      <c r="G11" s="209"/>
      <c r="H11" s="209"/>
      <c r="I11" s="209"/>
      <c r="J11" s="209"/>
      <c r="K11" s="209"/>
      <c r="L11" s="209"/>
      <c r="M11" s="209"/>
      <c r="N11" s="209"/>
      <c r="O11" s="209"/>
      <c r="P11" s="209"/>
      <c r="Q11" s="209"/>
      <c r="R11" s="209"/>
      <c r="S11" s="209"/>
      <c r="T11" s="209"/>
      <c r="U11" s="209"/>
      <c r="V11" s="209"/>
      <c r="W11" s="134" t="s">
        <v>141</v>
      </c>
      <c r="X11" s="578"/>
      <c r="Y11" s="578"/>
      <c r="Z11" s="141"/>
      <c r="AA11" s="209"/>
      <c r="AB11" s="209"/>
    </row>
    <row r="12" spans="1:31" s="16" customFormat="1" ht="14.25" x14ac:dyDescent="0.15">
      <c r="B12" s="214" t="s">
        <v>142</v>
      </c>
      <c r="C12" s="214"/>
      <c r="D12" s="209"/>
      <c r="E12" s="209"/>
      <c r="F12" s="209"/>
      <c r="G12" s="209"/>
      <c r="H12" s="209"/>
      <c r="I12" s="209"/>
      <c r="J12" s="209"/>
      <c r="K12" s="209"/>
      <c r="L12" s="209"/>
      <c r="M12" s="209"/>
      <c r="N12" s="209"/>
      <c r="O12" s="209"/>
      <c r="P12" s="209"/>
      <c r="Q12" s="209"/>
      <c r="R12" s="209"/>
      <c r="S12" s="209"/>
      <c r="T12" s="209"/>
      <c r="U12" s="209"/>
      <c r="V12" s="209"/>
      <c r="W12" s="134" t="s">
        <v>74</v>
      </c>
      <c r="X12" s="579"/>
      <c r="Y12" s="579"/>
      <c r="Z12" s="215"/>
      <c r="AA12" s="216" t="s">
        <v>75</v>
      </c>
      <c r="AB12" s="209"/>
    </row>
    <row r="13" spans="1:31" s="16" customFormat="1" ht="14.25" customHeight="1" x14ac:dyDescent="0.15">
      <c r="B13" s="214"/>
      <c r="C13" s="214"/>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A13" s="209"/>
      <c r="AB13" s="209"/>
    </row>
    <row r="14" spans="1:31" s="9" customFormat="1" ht="6.75" customHeight="1" x14ac:dyDescent="0.15">
      <c r="B14" s="200"/>
      <c r="C14" s="200"/>
      <c r="D14" s="200"/>
      <c r="E14" s="200"/>
      <c r="F14" s="200"/>
      <c r="G14" s="200"/>
      <c r="H14" s="200"/>
      <c r="I14" s="200"/>
      <c r="J14" s="200"/>
      <c r="K14" s="200"/>
      <c r="L14" s="200"/>
      <c r="M14" s="200"/>
      <c r="N14" s="200"/>
      <c r="O14" s="200"/>
      <c r="P14" s="200"/>
      <c r="Q14" s="200"/>
      <c r="R14" s="200"/>
      <c r="S14" s="200"/>
      <c r="T14" s="200"/>
      <c r="U14" s="200"/>
      <c r="V14" s="200"/>
      <c r="W14" s="200"/>
      <c r="X14" s="200"/>
      <c r="Y14" s="200"/>
      <c r="Z14" s="200"/>
      <c r="AA14" s="200"/>
      <c r="AB14" s="200"/>
    </row>
    <row r="15" spans="1:31" s="9" customFormat="1" x14ac:dyDescent="0.15">
      <c r="A15" s="143"/>
      <c r="B15" s="580" t="s">
        <v>143</v>
      </c>
      <c r="C15" s="580"/>
      <c r="D15" s="580"/>
      <c r="E15" s="143"/>
      <c r="F15" s="143"/>
      <c r="G15" s="143"/>
      <c r="H15" s="143"/>
      <c r="I15" s="143"/>
      <c r="J15" s="143"/>
      <c r="K15" s="143"/>
      <c r="L15" s="143"/>
      <c r="M15" s="143"/>
      <c r="N15" s="143"/>
      <c r="O15" s="143"/>
      <c r="P15" s="143"/>
      <c r="Q15" s="143"/>
      <c r="R15" s="143"/>
      <c r="S15" s="143"/>
      <c r="T15" s="143"/>
      <c r="U15" s="143"/>
      <c r="V15" s="143"/>
      <c r="W15" s="217"/>
      <c r="X15" s="217"/>
      <c r="Y15" s="217"/>
      <c r="Z15" s="217"/>
      <c r="AA15" s="217"/>
      <c r="AB15" s="143"/>
    </row>
    <row r="16" spans="1:31" s="134" customFormat="1" ht="11.25" customHeight="1" x14ac:dyDescent="0.15">
      <c r="A16" s="552" t="s">
        <v>144</v>
      </c>
      <c r="B16" s="532"/>
      <c r="C16" s="532"/>
      <c r="D16" s="532"/>
      <c r="E16" s="532"/>
      <c r="F16" s="532"/>
      <c r="G16" s="532"/>
      <c r="H16" s="532"/>
      <c r="I16" s="532"/>
      <c r="J16" s="532"/>
      <c r="K16" s="532"/>
      <c r="L16" s="532"/>
      <c r="M16" s="532"/>
      <c r="N16" s="532"/>
      <c r="O16" s="533"/>
      <c r="P16" s="552" t="s">
        <v>145</v>
      </c>
      <c r="Q16" s="532"/>
      <c r="R16" s="533"/>
      <c r="S16" s="552" t="s">
        <v>146</v>
      </c>
      <c r="T16" s="532"/>
      <c r="U16" s="532"/>
      <c r="V16" s="532"/>
      <c r="W16" s="532"/>
      <c r="X16" s="532"/>
      <c r="Y16" s="532"/>
      <c r="Z16" s="532"/>
      <c r="AA16" s="533"/>
    </row>
    <row r="17" spans="1:29" s="134" customFormat="1" ht="13.5" customHeight="1" x14ac:dyDescent="0.15">
      <c r="A17" s="553" t="s">
        <v>91</v>
      </c>
      <c r="B17" s="546" t="s">
        <v>147</v>
      </c>
      <c r="C17" s="547"/>
      <c r="D17" s="554" t="s">
        <v>93</v>
      </c>
      <c r="E17" s="547"/>
      <c r="F17" s="553" t="s">
        <v>148</v>
      </c>
      <c r="G17" s="552" t="s">
        <v>94</v>
      </c>
      <c r="H17" s="532"/>
      <c r="I17" s="532"/>
      <c r="J17" s="533"/>
      <c r="K17" s="554" t="s">
        <v>95</v>
      </c>
      <c r="L17" s="547"/>
      <c r="M17" s="546" t="s">
        <v>149</v>
      </c>
      <c r="N17" s="555"/>
      <c r="O17" s="547"/>
      <c r="P17" s="544" t="s">
        <v>150</v>
      </c>
      <c r="Q17" s="544" t="s">
        <v>94</v>
      </c>
      <c r="R17" s="544" t="s">
        <v>95</v>
      </c>
      <c r="S17" s="546" t="s">
        <v>151</v>
      </c>
      <c r="T17" s="547"/>
      <c r="U17" s="544" t="s">
        <v>152</v>
      </c>
      <c r="V17" s="544" t="s">
        <v>153</v>
      </c>
      <c r="W17" s="544" t="s">
        <v>100</v>
      </c>
      <c r="X17" s="544" t="s">
        <v>101</v>
      </c>
      <c r="Y17" s="546" t="s">
        <v>154</v>
      </c>
      <c r="Z17" s="557"/>
      <c r="AA17" s="547"/>
    </row>
    <row r="18" spans="1:29" s="134" customFormat="1" ht="11.25" customHeight="1" x14ac:dyDescent="0.15">
      <c r="A18" s="545"/>
      <c r="B18" s="548"/>
      <c r="C18" s="549"/>
      <c r="D18" s="548"/>
      <c r="E18" s="549"/>
      <c r="F18" s="545"/>
      <c r="G18" s="552" t="s">
        <v>19</v>
      </c>
      <c r="H18" s="533"/>
      <c r="I18" s="552" t="s">
        <v>20</v>
      </c>
      <c r="J18" s="533"/>
      <c r="K18" s="548"/>
      <c r="L18" s="549"/>
      <c r="M18" s="548"/>
      <c r="N18" s="556"/>
      <c r="O18" s="549"/>
      <c r="P18" s="545"/>
      <c r="Q18" s="545"/>
      <c r="R18" s="545"/>
      <c r="S18" s="548"/>
      <c r="T18" s="549"/>
      <c r="U18" s="545"/>
      <c r="V18" s="545"/>
      <c r="W18" s="545"/>
      <c r="X18" s="545"/>
      <c r="Y18" s="548"/>
      <c r="Z18" s="556"/>
      <c r="AA18" s="549"/>
    </row>
    <row r="19" spans="1:29" s="16" customFormat="1" ht="26.1" customHeight="1" x14ac:dyDescent="0.15">
      <c r="A19" s="218" t="s">
        <v>31</v>
      </c>
      <c r="B19" s="540" t="s">
        <v>155</v>
      </c>
      <c r="C19" s="539"/>
      <c r="D19" s="541">
        <v>38534</v>
      </c>
      <c r="E19" s="539"/>
      <c r="F19" s="219" t="s">
        <v>156</v>
      </c>
      <c r="G19" s="576">
        <v>1</v>
      </c>
      <c r="H19" s="539"/>
      <c r="I19" s="576">
        <v>2</v>
      </c>
      <c r="J19" s="539"/>
      <c r="K19" s="543">
        <v>456</v>
      </c>
      <c r="L19" s="539"/>
      <c r="M19" s="550">
        <v>4564456456456</v>
      </c>
      <c r="N19" s="551"/>
      <c r="O19" s="539"/>
      <c r="P19" s="220"/>
      <c r="Q19" s="221"/>
      <c r="R19" s="222"/>
      <c r="S19" s="550"/>
      <c r="T19" s="539"/>
      <c r="U19" s="223"/>
      <c r="V19" s="224"/>
      <c r="W19" s="224"/>
      <c r="X19" s="224"/>
      <c r="Y19" s="537"/>
      <c r="Z19" s="538"/>
      <c r="AA19" s="539"/>
    </row>
    <row r="20" spans="1:29" s="16" customFormat="1" ht="26.1" customHeight="1" x14ac:dyDescent="0.15">
      <c r="A20" s="225"/>
      <c r="B20" s="568"/>
      <c r="C20" s="514"/>
      <c r="D20" s="527"/>
      <c r="E20" s="514"/>
      <c r="F20" s="228"/>
      <c r="G20" s="567"/>
      <c r="H20" s="514"/>
      <c r="I20" s="567"/>
      <c r="J20" s="514"/>
      <c r="K20" s="529"/>
      <c r="L20" s="514"/>
      <c r="M20" s="513"/>
      <c r="N20" s="530"/>
      <c r="O20" s="514"/>
      <c r="P20" s="232"/>
      <c r="Q20" s="233"/>
      <c r="R20" s="234"/>
      <c r="S20" s="513"/>
      <c r="T20" s="514"/>
      <c r="U20" s="235"/>
      <c r="V20" s="236"/>
      <c r="W20" s="236"/>
      <c r="X20" s="236"/>
      <c r="Y20" s="515"/>
      <c r="Z20" s="516"/>
      <c r="AA20" s="514"/>
    </row>
    <row r="21" spans="1:29" s="16" customFormat="1" ht="26.1" customHeight="1" x14ac:dyDescent="0.15">
      <c r="A21" s="225"/>
      <c r="B21" s="568"/>
      <c r="C21" s="569"/>
      <c r="D21" s="527"/>
      <c r="E21" s="570"/>
      <c r="F21" s="228"/>
      <c r="G21" s="567"/>
      <c r="H21" s="571"/>
      <c r="I21" s="567"/>
      <c r="J21" s="571"/>
      <c r="K21" s="529"/>
      <c r="L21" s="572"/>
      <c r="M21" s="513"/>
      <c r="N21" s="573"/>
      <c r="O21" s="574"/>
      <c r="P21" s="232"/>
      <c r="Q21" s="233"/>
      <c r="R21" s="234"/>
      <c r="S21" s="513"/>
      <c r="T21" s="574"/>
      <c r="U21" s="235"/>
      <c r="V21" s="236"/>
      <c r="W21" s="236"/>
      <c r="X21" s="236"/>
      <c r="Y21" s="515"/>
      <c r="Z21" s="516"/>
      <c r="AA21" s="575"/>
    </row>
    <row r="22" spans="1:29" s="16" customFormat="1" ht="26.1" customHeight="1" x14ac:dyDescent="0.15">
      <c r="A22" s="241"/>
      <c r="B22" s="566"/>
      <c r="C22" s="514"/>
      <c r="D22" s="527"/>
      <c r="E22" s="514"/>
      <c r="F22" s="228"/>
      <c r="G22" s="567"/>
      <c r="H22" s="514"/>
      <c r="I22" s="567"/>
      <c r="J22" s="514"/>
      <c r="K22" s="529"/>
      <c r="L22" s="514"/>
      <c r="M22" s="513"/>
      <c r="N22" s="530"/>
      <c r="O22" s="514"/>
      <c r="P22" s="232"/>
      <c r="Q22" s="233"/>
      <c r="R22" s="234"/>
      <c r="S22" s="513"/>
      <c r="T22" s="514"/>
      <c r="U22" s="235"/>
      <c r="V22" s="236"/>
      <c r="W22" s="236"/>
      <c r="X22" s="236"/>
      <c r="Y22" s="515"/>
      <c r="Z22" s="516"/>
      <c r="AA22" s="514"/>
    </row>
    <row r="23" spans="1:29" s="134" customFormat="1" ht="26.1" customHeight="1" x14ac:dyDescent="0.15">
      <c r="A23" s="241"/>
      <c r="B23" s="566"/>
      <c r="C23" s="514"/>
      <c r="D23" s="527"/>
      <c r="E23" s="514"/>
      <c r="F23" s="228"/>
      <c r="G23" s="567"/>
      <c r="H23" s="514"/>
      <c r="I23" s="567"/>
      <c r="J23" s="514"/>
      <c r="K23" s="529"/>
      <c r="L23" s="514"/>
      <c r="M23" s="513"/>
      <c r="N23" s="530"/>
      <c r="O23" s="514"/>
      <c r="P23" s="232"/>
      <c r="Q23" s="233"/>
      <c r="R23" s="234"/>
      <c r="S23" s="513"/>
      <c r="T23" s="514"/>
      <c r="U23" s="235"/>
      <c r="V23" s="236"/>
      <c r="W23" s="236"/>
      <c r="X23" s="236"/>
      <c r="Y23" s="515"/>
      <c r="Z23" s="516"/>
      <c r="AA23" s="514"/>
    </row>
    <row r="24" spans="1:29" s="16" customFormat="1" ht="26.1" customHeight="1" x14ac:dyDescent="0.15">
      <c r="A24" s="242"/>
      <c r="B24" s="564"/>
      <c r="C24" s="518"/>
      <c r="D24" s="519"/>
      <c r="E24" s="518"/>
      <c r="F24" s="243"/>
      <c r="G24" s="565"/>
      <c r="H24" s="518"/>
      <c r="I24" s="565"/>
      <c r="J24" s="518"/>
      <c r="K24" s="521"/>
      <c r="L24" s="518"/>
      <c r="M24" s="522"/>
      <c r="N24" s="523"/>
      <c r="O24" s="518"/>
      <c r="P24" s="244"/>
      <c r="Q24" s="245"/>
      <c r="R24" s="246"/>
      <c r="S24" s="522"/>
      <c r="T24" s="518"/>
      <c r="U24" s="247"/>
      <c r="V24" s="248"/>
      <c r="W24" s="248"/>
      <c r="X24" s="248"/>
      <c r="Y24" s="524"/>
      <c r="Z24" s="525"/>
      <c r="AA24" s="518"/>
    </row>
    <row r="25" spans="1:29" s="201" customFormat="1" ht="26.1" customHeight="1" x14ac:dyDescent="0.15">
      <c r="A25" s="562" t="s">
        <v>157</v>
      </c>
      <c r="B25" s="532"/>
      <c r="C25" s="532"/>
      <c r="D25" s="532"/>
      <c r="E25" s="532"/>
      <c r="F25" s="533"/>
      <c r="G25" s="563">
        <f>SUM(G19:H24)</f>
        <v>1</v>
      </c>
      <c r="H25" s="533"/>
      <c r="I25" s="563">
        <f>SUM(I19:J24)</f>
        <v>2</v>
      </c>
      <c r="J25" s="533"/>
      <c r="K25" s="249"/>
      <c r="L25" s="250"/>
      <c r="M25" s="250"/>
      <c r="N25" s="250"/>
      <c r="O25" s="250"/>
      <c r="P25" s="250"/>
      <c r="Q25" s="250"/>
      <c r="R25" s="250"/>
      <c r="S25" s="250"/>
      <c r="T25" s="251"/>
      <c r="U25" s="252"/>
      <c r="V25" s="253">
        <f>SUM(V19:V24)</f>
        <v>0</v>
      </c>
      <c r="W25" s="253">
        <f>SUM(W19:W24)</f>
        <v>0</v>
      </c>
      <c r="X25" s="253">
        <f>SUM(X19:X24)</f>
        <v>0</v>
      </c>
      <c r="Y25" s="535">
        <f>SUM(V25-W25-X25)</f>
        <v>0</v>
      </c>
      <c r="Z25" s="536"/>
      <c r="AA25" s="533"/>
    </row>
    <row r="26" spans="1:29" ht="7.5" customHeight="1" x14ac:dyDescent="0.15">
      <c r="A26" s="136"/>
      <c r="B26" s="136"/>
      <c r="C26" s="136"/>
      <c r="D26" s="136"/>
      <c r="E26" s="136"/>
      <c r="F26" s="136"/>
      <c r="G26" s="136"/>
      <c r="H26" s="136"/>
      <c r="I26" s="136"/>
      <c r="J26" s="136"/>
      <c r="K26" s="136"/>
      <c r="M26" s="136"/>
      <c r="N26" s="136"/>
      <c r="O26" s="136"/>
      <c r="P26" s="136"/>
      <c r="Q26" s="136"/>
      <c r="R26" s="136"/>
      <c r="S26" s="136"/>
      <c r="T26" s="136"/>
      <c r="U26" s="136"/>
      <c r="V26" s="254"/>
      <c r="W26" s="254"/>
      <c r="X26" s="254"/>
      <c r="Y26" s="559"/>
      <c r="Z26" s="559"/>
      <c r="AA26" s="559"/>
      <c r="AB26" s="136"/>
    </row>
    <row r="27" spans="1:29" x14ac:dyDescent="0.15">
      <c r="A27" s="136"/>
      <c r="B27" s="209" t="s">
        <v>158</v>
      </c>
      <c r="D27" s="142"/>
      <c r="F27" s="143"/>
      <c r="G27" s="143"/>
      <c r="H27" s="143"/>
      <c r="I27" s="143"/>
      <c r="J27" s="142"/>
      <c r="K27" s="142"/>
      <c r="M27" s="142"/>
      <c r="N27" s="142"/>
      <c r="O27" s="142"/>
      <c r="P27" s="142"/>
      <c r="Q27" s="142"/>
      <c r="R27" s="142"/>
      <c r="S27" s="142"/>
      <c r="T27" s="435"/>
      <c r="U27" s="435"/>
      <c r="V27" s="435"/>
      <c r="W27" s="435"/>
      <c r="X27" s="435"/>
      <c r="Y27" s="435"/>
      <c r="Z27" s="435"/>
      <c r="AA27" s="435"/>
      <c r="AB27" s="142"/>
    </row>
    <row r="28" spans="1:29" x14ac:dyDescent="0.15">
      <c r="A28" s="136"/>
      <c r="B28" s="16" t="s">
        <v>105</v>
      </c>
      <c r="C28" s="184"/>
      <c r="D28" s="136"/>
      <c r="E28" s="143"/>
      <c r="F28" s="143"/>
      <c r="G28" s="143"/>
      <c r="H28" s="143"/>
      <c r="I28" s="143"/>
      <c r="J28" s="136"/>
      <c r="K28" s="136"/>
      <c r="M28" s="136"/>
      <c r="N28" s="136"/>
      <c r="O28" s="136"/>
      <c r="P28" s="136"/>
      <c r="Q28" s="136"/>
      <c r="R28" s="136"/>
      <c r="S28" s="136"/>
      <c r="T28" s="136"/>
      <c r="U28" s="136"/>
      <c r="V28" s="136"/>
      <c r="W28" s="136"/>
      <c r="X28" s="136"/>
      <c r="Y28" s="136"/>
      <c r="Z28" s="136"/>
      <c r="AA28" s="136"/>
      <c r="AB28" s="142"/>
    </row>
    <row r="29" spans="1:29" ht="9.9499999999999993" customHeight="1" x14ac:dyDescent="0.15">
      <c r="A29" s="560"/>
      <c r="B29" s="560"/>
      <c r="C29" s="560"/>
      <c r="D29" s="560"/>
      <c r="E29" s="560"/>
      <c r="F29" s="560"/>
      <c r="G29" s="560"/>
      <c r="H29" s="560"/>
      <c r="I29" s="560"/>
      <c r="J29" s="560"/>
      <c r="K29" s="560"/>
      <c r="L29" s="560"/>
      <c r="M29" s="560"/>
      <c r="N29" s="560"/>
      <c r="O29" s="560"/>
      <c r="P29" s="560"/>
      <c r="Q29" s="560"/>
      <c r="R29" s="560"/>
      <c r="S29" s="560"/>
      <c r="T29" s="560"/>
      <c r="U29" s="560"/>
      <c r="V29" s="560"/>
      <c r="W29" s="560"/>
      <c r="X29" s="560"/>
      <c r="Y29" s="560"/>
      <c r="Z29" s="560"/>
      <c r="AA29" s="560"/>
      <c r="AB29" s="143"/>
      <c r="AC29" s="143"/>
    </row>
    <row r="30" spans="1:29" s="136" customFormat="1" ht="10.5" x14ac:dyDescent="0.15">
      <c r="A30" s="561" t="str">
        <f>A1</f>
        <v>(No． 1 )</v>
      </c>
      <c r="B30" s="561"/>
      <c r="C30" s="561"/>
      <c r="D30" s="561"/>
      <c r="E30" s="561"/>
      <c r="F30" s="561"/>
      <c r="G30" s="561"/>
      <c r="H30" s="561"/>
      <c r="I30" s="561"/>
      <c r="J30" s="561"/>
      <c r="K30" s="561"/>
      <c r="L30" s="561"/>
      <c r="M30" s="561"/>
      <c r="N30" s="561"/>
      <c r="O30" s="561"/>
      <c r="P30" s="561"/>
      <c r="Q30" s="561"/>
      <c r="R30" s="561"/>
      <c r="S30" s="561"/>
      <c r="T30" s="561"/>
      <c r="U30" s="561"/>
      <c r="V30" s="561"/>
      <c r="W30" s="561"/>
      <c r="X30" s="561"/>
      <c r="Y30" s="561"/>
      <c r="Z30" s="561"/>
      <c r="AA30" s="561"/>
      <c r="AB30" s="143"/>
      <c r="AC30" s="143"/>
    </row>
    <row r="31" spans="1:29" s="16" customFormat="1" ht="13.5" customHeight="1" x14ac:dyDescent="0.15">
      <c r="C31" s="558">
        <f>C2</f>
        <v>0</v>
      </c>
      <c r="D31" s="558"/>
      <c r="E31" s="558"/>
      <c r="F31" s="558"/>
      <c r="G31" s="558"/>
      <c r="H31" s="558"/>
      <c r="I31" s="558"/>
      <c r="J31" s="558"/>
      <c r="K31" s="209"/>
      <c r="T31" s="209"/>
      <c r="U31" s="209"/>
      <c r="V31" s="209"/>
      <c r="W31" s="209"/>
      <c r="X31" s="209"/>
      <c r="Y31" s="209"/>
      <c r="Z31" s="209"/>
      <c r="AA31" s="1"/>
      <c r="AB31" s="209"/>
    </row>
    <row r="32" spans="1:29" s="16" customFormat="1" ht="13.5" customHeight="1" x14ac:dyDescent="0.15">
      <c r="C32" s="558">
        <f>C3</f>
        <v>0</v>
      </c>
      <c r="D32" s="558"/>
      <c r="E32" s="558"/>
      <c r="F32" s="558"/>
      <c r="G32" s="558"/>
      <c r="H32" s="558"/>
      <c r="I32" s="558"/>
      <c r="J32" s="558"/>
      <c r="K32" s="209"/>
      <c r="X32" s="255"/>
      <c r="Y32" s="255"/>
      <c r="Z32" s="255"/>
      <c r="AA32" s="255"/>
      <c r="AB32" s="255"/>
    </row>
    <row r="33" spans="1:35" s="16" customFormat="1" ht="13.5" customHeight="1" x14ac:dyDescent="0.15">
      <c r="C33" s="558">
        <f>C4</f>
        <v>0</v>
      </c>
      <c r="D33" s="558"/>
      <c r="E33" s="558"/>
      <c r="F33" s="558"/>
      <c r="G33" s="558"/>
      <c r="H33" s="558"/>
      <c r="I33" s="558"/>
      <c r="J33" s="558"/>
      <c r="K33" s="209"/>
      <c r="W33" s="209"/>
      <c r="X33" s="209"/>
      <c r="Y33" s="209"/>
      <c r="Z33" s="209"/>
      <c r="AA33" s="209"/>
      <c r="AB33" s="209"/>
    </row>
    <row r="34" spans="1:35" s="16" customFormat="1" ht="13.5" customHeight="1" x14ac:dyDescent="0.15">
      <c r="C34" s="482">
        <f>C7</f>
        <v>0</v>
      </c>
      <c r="D34" s="482"/>
      <c r="E34" s="482"/>
      <c r="F34" s="482"/>
      <c r="G34" s="482"/>
      <c r="H34" s="482"/>
      <c r="J34" s="209" t="s">
        <v>72</v>
      </c>
      <c r="K34" s="209"/>
      <c r="P34" s="256" t="s">
        <v>138</v>
      </c>
      <c r="W34" s="209"/>
      <c r="X34" s="209"/>
      <c r="Y34" s="209"/>
      <c r="Z34" s="209"/>
      <c r="AA34" s="209"/>
      <c r="AB34" s="209"/>
    </row>
    <row r="35" spans="1:35" s="16" customFormat="1" ht="13.5" customHeight="1" x14ac:dyDescent="0.15">
      <c r="C35" s="482">
        <f>C8</f>
        <v>0</v>
      </c>
      <c r="D35" s="482"/>
      <c r="E35" s="482"/>
      <c r="F35" s="482"/>
      <c r="G35" s="482"/>
      <c r="H35" s="482"/>
      <c r="J35" s="209"/>
      <c r="K35" s="209"/>
      <c r="W35" s="209"/>
      <c r="X35" s="209"/>
      <c r="Y35" s="209"/>
      <c r="Z35" s="209"/>
      <c r="AA35" s="209"/>
      <c r="AB35" s="209"/>
    </row>
    <row r="36" spans="1:35" s="16" customFormat="1" ht="11.25" x14ac:dyDescent="0.15">
      <c r="B36" s="214" t="s">
        <v>139</v>
      </c>
      <c r="I36" s="134"/>
      <c r="J36" s="209"/>
      <c r="K36" s="209"/>
    </row>
    <row r="37" spans="1:35" s="16" customFormat="1" ht="11.25" x14ac:dyDescent="0.15">
      <c r="B37" s="214" t="s">
        <v>140</v>
      </c>
      <c r="C37" s="134"/>
      <c r="D37" s="134"/>
      <c r="E37" s="134"/>
      <c r="F37" s="134"/>
      <c r="G37" s="134"/>
      <c r="H37" s="134"/>
      <c r="I37" s="134"/>
      <c r="J37" s="134"/>
      <c r="K37" s="134"/>
      <c r="W37" s="134" t="s">
        <v>141</v>
      </c>
      <c r="X37" s="482"/>
      <c r="Y37" s="482"/>
      <c r="Z37" s="134"/>
      <c r="AA37" s="134"/>
      <c r="AB37" s="257"/>
      <c r="AC37" s="257"/>
      <c r="AD37" s="257"/>
      <c r="AE37" s="257"/>
      <c r="AF37" s="257"/>
      <c r="AG37" s="257"/>
      <c r="AH37" s="257"/>
      <c r="AI37" s="257"/>
    </row>
    <row r="38" spans="1:35" s="16" customFormat="1" ht="11.25" x14ac:dyDescent="0.15">
      <c r="B38" s="214" t="s">
        <v>142</v>
      </c>
      <c r="C38" s="214"/>
      <c r="D38" s="209"/>
      <c r="E38" s="209"/>
      <c r="F38" s="209"/>
      <c r="G38" s="209"/>
      <c r="H38" s="209"/>
      <c r="I38" s="209"/>
      <c r="J38" s="209"/>
      <c r="K38" s="209"/>
      <c r="L38" s="209"/>
      <c r="M38" s="209"/>
      <c r="N38" s="209"/>
      <c r="O38" s="209"/>
      <c r="P38" s="209"/>
      <c r="Q38" s="209"/>
      <c r="R38" s="209"/>
      <c r="S38" s="209"/>
      <c r="T38" s="209"/>
      <c r="U38" s="209"/>
      <c r="V38" s="209"/>
      <c r="W38" s="134" t="s">
        <v>74</v>
      </c>
      <c r="X38" s="483"/>
      <c r="Y38" s="483"/>
      <c r="Z38" s="135"/>
      <c r="AA38" s="216" t="s">
        <v>75</v>
      </c>
      <c r="AB38" s="257"/>
      <c r="AC38" s="257"/>
      <c r="AD38" s="257"/>
      <c r="AE38" s="257"/>
      <c r="AF38" s="257"/>
      <c r="AG38" s="257"/>
      <c r="AH38" s="257"/>
    </row>
    <row r="39" spans="1:35" s="16" customFormat="1" ht="11.25" x14ac:dyDescent="0.15">
      <c r="B39" s="214"/>
      <c r="C39" s="214"/>
      <c r="D39" s="209"/>
      <c r="E39" s="209"/>
      <c r="F39" s="209"/>
      <c r="G39" s="209"/>
      <c r="H39" s="209"/>
      <c r="I39" s="209"/>
      <c r="J39" s="209"/>
      <c r="K39" s="209"/>
      <c r="L39" s="209"/>
      <c r="M39" s="209"/>
      <c r="N39" s="209"/>
      <c r="O39" s="209"/>
      <c r="P39" s="209"/>
      <c r="Q39" s="209"/>
      <c r="R39" s="209"/>
      <c r="S39" s="209"/>
      <c r="T39" s="209"/>
      <c r="U39" s="209"/>
      <c r="V39" s="209"/>
      <c r="W39" s="209"/>
      <c r="X39" s="209"/>
      <c r="Y39" s="209"/>
      <c r="Z39" s="209"/>
      <c r="AA39" s="209"/>
      <c r="AB39" s="209"/>
    </row>
    <row r="40" spans="1:35" s="16" customFormat="1" ht="9.9499999999999993" customHeight="1" x14ac:dyDescent="0.15">
      <c r="B40" s="134"/>
      <c r="C40" s="134"/>
      <c r="D40" s="134"/>
      <c r="E40" s="134"/>
      <c r="U40" s="257"/>
      <c r="X40" s="134"/>
      <c r="Y40" s="134"/>
      <c r="Z40" s="134"/>
      <c r="AA40" s="134"/>
      <c r="AB40" s="134"/>
    </row>
    <row r="41" spans="1:35" s="136" customFormat="1" ht="10.5" customHeight="1" x14ac:dyDescent="0.15">
      <c r="B41" s="470" t="s">
        <v>143</v>
      </c>
      <c r="C41" s="556"/>
      <c r="D41" s="556"/>
      <c r="W41" s="217"/>
      <c r="X41" s="217"/>
      <c r="Y41" s="217"/>
      <c r="Z41" s="217"/>
      <c r="AA41" s="217"/>
    </row>
    <row r="42" spans="1:35" s="134" customFormat="1" ht="11.25" customHeight="1" x14ac:dyDescent="0.15">
      <c r="A42" s="552" t="s">
        <v>144</v>
      </c>
      <c r="B42" s="532"/>
      <c r="C42" s="532"/>
      <c r="D42" s="532"/>
      <c r="E42" s="532"/>
      <c r="F42" s="532"/>
      <c r="G42" s="532"/>
      <c r="H42" s="532"/>
      <c r="I42" s="532"/>
      <c r="J42" s="532"/>
      <c r="K42" s="532"/>
      <c r="L42" s="532"/>
      <c r="M42" s="532"/>
      <c r="N42" s="532"/>
      <c r="O42" s="533"/>
      <c r="P42" s="552" t="s">
        <v>145</v>
      </c>
      <c r="Q42" s="532"/>
      <c r="R42" s="533"/>
      <c r="S42" s="552" t="s">
        <v>146</v>
      </c>
      <c r="T42" s="532"/>
      <c r="U42" s="532"/>
      <c r="V42" s="532"/>
      <c r="W42" s="532"/>
      <c r="X42" s="532"/>
      <c r="Y42" s="532"/>
      <c r="Z42" s="532"/>
      <c r="AA42" s="533"/>
    </row>
    <row r="43" spans="1:35" s="134" customFormat="1" ht="11.25" customHeight="1" x14ac:dyDescent="0.15">
      <c r="A43" s="553" t="s">
        <v>91</v>
      </c>
      <c r="B43" s="546" t="s">
        <v>147</v>
      </c>
      <c r="C43" s="547"/>
      <c r="D43" s="554" t="s">
        <v>93</v>
      </c>
      <c r="E43" s="547"/>
      <c r="F43" s="553" t="s">
        <v>148</v>
      </c>
      <c r="G43" s="552" t="s">
        <v>94</v>
      </c>
      <c r="H43" s="532"/>
      <c r="I43" s="532"/>
      <c r="J43" s="533"/>
      <c r="K43" s="554" t="s">
        <v>95</v>
      </c>
      <c r="L43" s="547"/>
      <c r="M43" s="546" t="s">
        <v>159</v>
      </c>
      <c r="N43" s="555"/>
      <c r="O43" s="547"/>
      <c r="P43" s="544" t="s">
        <v>150</v>
      </c>
      <c r="Q43" s="544" t="s">
        <v>94</v>
      </c>
      <c r="R43" s="544" t="s">
        <v>95</v>
      </c>
      <c r="S43" s="546" t="s">
        <v>151</v>
      </c>
      <c r="T43" s="547"/>
      <c r="U43" s="544" t="s">
        <v>152</v>
      </c>
      <c r="V43" s="544" t="s">
        <v>153</v>
      </c>
      <c r="W43" s="544" t="s">
        <v>100</v>
      </c>
      <c r="X43" s="544" t="s">
        <v>101</v>
      </c>
      <c r="Y43" s="546" t="s">
        <v>154</v>
      </c>
      <c r="Z43" s="557"/>
      <c r="AA43" s="547"/>
    </row>
    <row r="44" spans="1:35" s="134" customFormat="1" ht="11.25" customHeight="1" x14ac:dyDescent="0.15">
      <c r="A44" s="545"/>
      <c r="B44" s="548"/>
      <c r="C44" s="549"/>
      <c r="D44" s="548"/>
      <c r="E44" s="549"/>
      <c r="F44" s="545"/>
      <c r="G44" s="552" t="s">
        <v>19</v>
      </c>
      <c r="H44" s="533"/>
      <c r="I44" s="552" t="s">
        <v>20</v>
      </c>
      <c r="J44" s="533"/>
      <c r="K44" s="548"/>
      <c r="L44" s="549"/>
      <c r="M44" s="548"/>
      <c r="N44" s="556"/>
      <c r="O44" s="549"/>
      <c r="P44" s="545"/>
      <c r="Q44" s="545"/>
      <c r="R44" s="545"/>
      <c r="S44" s="548"/>
      <c r="T44" s="549"/>
      <c r="U44" s="545"/>
      <c r="V44" s="545"/>
      <c r="W44" s="545"/>
      <c r="X44" s="545"/>
      <c r="Y44" s="548"/>
      <c r="Z44" s="556"/>
      <c r="AA44" s="549"/>
    </row>
    <row r="45" spans="1:35" s="16" customFormat="1" ht="26.1" customHeight="1" x14ac:dyDescent="0.15">
      <c r="A45" s="258" t="str">
        <f>IF(A19="","",A19)</f>
        <v>001</v>
      </c>
      <c r="B45" s="540" t="str">
        <f>IF(B19="","",B19)</f>
        <v>CBOT  2005/09
アルミニュウム</v>
      </c>
      <c r="C45" s="539"/>
      <c r="D45" s="541">
        <f>IF(D19="","",D19)</f>
        <v>38534</v>
      </c>
      <c r="E45" s="539"/>
      <c r="F45" s="259" t="str">
        <f>IF(F19="","",F19)</f>
        <v>新規</v>
      </c>
      <c r="G45" s="542">
        <f>IF(G19="","",G19)</f>
        <v>1</v>
      </c>
      <c r="H45" s="539"/>
      <c r="I45" s="542">
        <f>IF(I19="","",I19)</f>
        <v>2</v>
      </c>
      <c r="J45" s="539"/>
      <c r="K45" s="543">
        <f>IF(K19="","",K19)</f>
        <v>456</v>
      </c>
      <c r="L45" s="539"/>
      <c r="M45" s="550">
        <f>IF(M19="","",M19)</f>
        <v>4564456456456</v>
      </c>
      <c r="N45" s="551"/>
      <c r="O45" s="539"/>
      <c r="P45" s="220" t="str">
        <f t="shared" ref="P45:S46" si="0">IF(P19="","",P19)</f>
        <v/>
      </c>
      <c r="Q45" s="221" t="str">
        <f t="shared" si="0"/>
        <v/>
      </c>
      <c r="R45" s="222" t="str">
        <f t="shared" si="0"/>
        <v/>
      </c>
      <c r="S45" s="550" t="str">
        <f t="shared" si="0"/>
        <v/>
      </c>
      <c r="T45" s="539"/>
      <c r="U45" s="223" t="str">
        <f t="shared" ref="U45:Y46" si="1">IF(U19="","",U19)</f>
        <v/>
      </c>
      <c r="V45" s="224" t="str">
        <f t="shared" si="1"/>
        <v/>
      </c>
      <c r="W45" s="224" t="str">
        <f t="shared" si="1"/>
        <v/>
      </c>
      <c r="X45" s="224" t="str">
        <f t="shared" si="1"/>
        <v/>
      </c>
      <c r="Y45" s="537" t="str">
        <f t="shared" si="1"/>
        <v/>
      </c>
      <c r="Z45" s="538"/>
      <c r="AA45" s="539"/>
    </row>
    <row r="46" spans="1:35" s="16" customFormat="1" ht="26.1" customHeight="1" x14ac:dyDescent="0.15">
      <c r="A46" s="260" t="str">
        <f>IF(A20="","",A20)</f>
        <v/>
      </c>
      <c r="B46" s="526" t="str">
        <f>IF(B20="","",B20)</f>
        <v/>
      </c>
      <c r="C46" s="514"/>
      <c r="D46" s="527" t="str">
        <f>IF(D20="","",D20)</f>
        <v/>
      </c>
      <c r="E46" s="514"/>
      <c r="F46" s="228" t="str">
        <f>IF(F20="","",F20)</f>
        <v/>
      </c>
      <c r="G46" s="528" t="str">
        <f>IF(G20="","",G20)</f>
        <v/>
      </c>
      <c r="H46" s="514"/>
      <c r="I46" s="528" t="str">
        <f>IF(I20="","",I20)</f>
        <v/>
      </c>
      <c r="J46" s="514"/>
      <c r="K46" s="529" t="str">
        <f>IF(K20="","",K20)</f>
        <v/>
      </c>
      <c r="L46" s="514"/>
      <c r="M46" s="513" t="str">
        <f>IF(M20="","",M20)</f>
        <v/>
      </c>
      <c r="N46" s="530"/>
      <c r="O46" s="514"/>
      <c r="P46" s="232" t="str">
        <f t="shared" si="0"/>
        <v/>
      </c>
      <c r="Q46" s="233" t="str">
        <f t="shared" si="0"/>
        <v/>
      </c>
      <c r="R46" s="234" t="str">
        <f t="shared" si="0"/>
        <v/>
      </c>
      <c r="S46" s="513" t="str">
        <f t="shared" si="0"/>
        <v/>
      </c>
      <c r="T46" s="514"/>
      <c r="U46" s="235" t="str">
        <f t="shared" si="1"/>
        <v/>
      </c>
      <c r="V46" s="236" t="str">
        <f t="shared" si="1"/>
        <v/>
      </c>
      <c r="W46" s="236" t="str">
        <f t="shared" si="1"/>
        <v/>
      </c>
      <c r="X46" s="236" t="str">
        <f t="shared" si="1"/>
        <v/>
      </c>
      <c r="Y46" s="515" t="str">
        <f t="shared" si="1"/>
        <v/>
      </c>
      <c r="Z46" s="516"/>
      <c r="AA46" s="514"/>
    </row>
    <row r="47" spans="1:35" s="16" customFormat="1" ht="26.1" customHeight="1" x14ac:dyDescent="0.15">
      <c r="A47" s="260"/>
      <c r="B47" s="261"/>
      <c r="C47" s="226"/>
      <c r="D47" s="227"/>
      <c r="E47" s="226"/>
      <c r="F47" s="228"/>
      <c r="G47" s="262"/>
      <c r="H47" s="226"/>
      <c r="I47" s="262"/>
      <c r="J47" s="226"/>
      <c r="K47" s="229"/>
      <c r="L47" s="226"/>
      <c r="M47" s="230"/>
      <c r="N47" s="231"/>
      <c r="O47" s="226"/>
      <c r="P47" s="232"/>
      <c r="Q47" s="233"/>
      <c r="R47" s="234"/>
      <c r="S47" s="230"/>
      <c r="T47" s="226"/>
      <c r="U47" s="235"/>
      <c r="V47" s="236"/>
      <c r="W47" s="236"/>
      <c r="X47" s="236"/>
      <c r="Y47" s="237"/>
      <c r="Z47" s="238"/>
      <c r="AA47" s="226"/>
    </row>
    <row r="48" spans="1:35" s="16" customFormat="1" ht="26.1" customHeight="1" x14ac:dyDescent="0.15">
      <c r="A48" s="260" t="str">
        <f t="shared" ref="A48:B50" si="2">IF(A22="","",A22)</f>
        <v/>
      </c>
      <c r="B48" s="526" t="str">
        <f t="shared" si="2"/>
        <v/>
      </c>
      <c r="C48" s="514"/>
      <c r="D48" s="527" t="str">
        <f>IF(D22="","",D22)</f>
        <v/>
      </c>
      <c r="E48" s="514"/>
      <c r="F48" s="228" t="str">
        <f t="shared" ref="F48:G50" si="3">IF(F22="","",F22)</f>
        <v/>
      </c>
      <c r="G48" s="528" t="str">
        <f t="shared" si="3"/>
        <v/>
      </c>
      <c r="H48" s="514"/>
      <c r="I48" s="528" t="str">
        <f>IF(I22="","",I22)</f>
        <v/>
      </c>
      <c r="J48" s="514"/>
      <c r="K48" s="529" t="str">
        <f>IF(K22="","",K22)</f>
        <v/>
      </c>
      <c r="L48" s="514"/>
      <c r="M48" s="513" t="str">
        <f>IF(M22="","",M22)</f>
        <v/>
      </c>
      <c r="N48" s="530"/>
      <c r="O48" s="514"/>
      <c r="P48" s="232" t="str">
        <f t="shared" ref="P48:S50" si="4">IF(P22="","",P22)</f>
        <v/>
      </c>
      <c r="Q48" s="233" t="str">
        <f t="shared" si="4"/>
        <v/>
      </c>
      <c r="R48" s="234" t="str">
        <f t="shared" si="4"/>
        <v/>
      </c>
      <c r="S48" s="513" t="str">
        <f t="shared" si="4"/>
        <v/>
      </c>
      <c r="T48" s="514"/>
      <c r="U48" s="235" t="str">
        <f t="shared" ref="U48:Y51" si="5">IF(U22="","",U22)</f>
        <v/>
      </c>
      <c r="V48" s="236" t="str">
        <f t="shared" si="5"/>
        <v/>
      </c>
      <c r="W48" s="236" t="str">
        <f t="shared" si="5"/>
        <v/>
      </c>
      <c r="X48" s="236" t="str">
        <f t="shared" si="5"/>
        <v/>
      </c>
      <c r="Y48" s="515" t="str">
        <f t="shared" si="5"/>
        <v/>
      </c>
      <c r="Z48" s="516"/>
      <c r="AA48" s="514"/>
    </row>
    <row r="49" spans="1:28" s="134" customFormat="1" ht="26.1" customHeight="1" x14ac:dyDescent="0.15">
      <c r="A49" s="260" t="str">
        <f t="shared" si="2"/>
        <v/>
      </c>
      <c r="B49" s="526" t="str">
        <f t="shared" si="2"/>
        <v/>
      </c>
      <c r="C49" s="514"/>
      <c r="D49" s="527" t="str">
        <f>IF(D23="","",D23)</f>
        <v/>
      </c>
      <c r="E49" s="514"/>
      <c r="F49" s="228" t="str">
        <f t="shared" si="3"/>
        <v/>
      </c>
      <c r="G49" s="528" t="str">
        <f t="shared" si="3"/>
        <v/>
      </c>
      <c r="H49" s="514"/>
      <c r="I49" s="528" t="str">
        <f>IF(I23="","",I23)</f>
        <v/>
      </c>
      <c r="J49" s="514"/>
      <c r="K49" s="529" t="str">
        <f>IF(K23="","",K23)</f>
        <v/>
      </c>
      <c r="L49" s="514"/>
      <c r="M49" s="513" t="str">
        <f>IF(M23="","",M23)</f>
        <v/>
      </c>
      <c r="N49" s="530"/>
      <c r="O49" s="514"/>
      <c r="P49" s="232" t="str">
        <f t="shared" si="4"/>
        <v/>
      </c>
      <c r="Q49" s="233" t="str">
        <f t="shared" si="4"/>
        <v/>
      </c>
      <c r="R49" s="234" t="str">
        <f t="shared" si="4"/>
        <v/>
      </c>
      <c r="S49" s="513" t="str">
        <f t="shared" si="4"/>
        <v/>
      </c>
      <c r="T49" s="514"/>
      <c r="U49" s="235" t="str">
        <f t="shared" si="5"/>
        <v/>
      </c>
      <c r="V49" s="236" t="str">
        <f t="shared" si="5"/>
        <v/>
      </c>
      <c r="W49" s="236" t="str">
        <f t="shared" si="5"/>
        <v/>
      </c>
      <c r="X49" s="236" t="str">
        <f t="shared" si="5"/>
        <v/>
      </c>
      <c r="Y49" s="515" t="str">
        <f t="shared" si="5"/>
        <v/>
      </c>
      <c r="Z49" s="516"/>
      <c r="AA49" s="514"/>
    </row>
    <row r="50" spans="1:28" s="16" customFormat="1" ht="26.1" customHeight="1" x14ac:dyDescent="0.15">
      <c r="A50" s="263" t="str">
        <f t="shared" si="2"/>
        <v/>
      </c>
      <c r="B50" s="517" t="str">
        <f t="shared" si="2"/>
        <v/>
      </c>
      <c r="C50" s="518"/>
      <c r="D50" s="519" t="str">
        <f>IF(D24="","",D24)</f>
        <v/>
      </c>
      <c r="E50" s="518"/>
      <c r="F50" s="243" t="str">
        <f t="shared" si="3"/>
        <v/>
      </c>
      <c r="G50" s="520" t="str">
        <f t="shared" si="3"/>
        <v/>
      </c>
      <c r="H50" s="518"/>
      <c r="I50" s="520" t="str">
        <f>IF(I24="","",I24)</f>
        <v/>
      </c>
      <c r="J50" s="518"/>
      <c r="K50" s="521" t="str">
        <f>IF(K24="","",K24)</f>
        <v/>
      </c>
      <c r="L50" s="518"/>
      <c r="M50" s="522" t="str">
        <f>IF(M24="","",M24)</f>
        <v/>
      </c>
      <c r="N50" s="523"/>
      <c r="O50" s="518"/>
      <c r="P50" s="244" t="str">
        <f t="shared" si="4"/>
        <v/>
      </c>
      <c r="Q50" s="245" t="str">
        <f t="shared" si="4"/>
        <v/>
      </c>
      <c r="R50" s="246" t="str">
        <f t="shared" si="4"/>
        <v/>
      </c>
      <c r="S50" s="522" t="str">
        <f t="shared" si="4"/>
        <v/>
      </c>
      <c r="T50" s="518"/>
      <c r="U50" s="247" t="str">
        <f t="shared" si="5"/>
        <v/>
      </c>
      <c r="V50" s="248" t="str">
        <f t="shared" si="5"/>
        <v/>
      </c>
      <c r="W50" s="248" t="str">
        <f t="shared" si="5"/>
        <v/>
      </c>
      <c r="X50" s="248" t="str">
        <f t="shared" si="5"/>
        <v/>
      </c>
      <c r="Y50" s="524" t="str">
        <f t="shared" si="5"/>
        <v/>
      </c>
      <c r="Z50" s="525"/>
      <c r="AA50" s="518"/>
    </row>
    <row r="51" spans="1:28" s="16" customFormat="1" x14ac:dyDescent="0.15">
      <c r="A51" s="531" t="s">
        <v>157</v>
      </c>
      <c r="B51" s="532"/>
      <c r="C51" s="532"/>
      <c r="D51" s="532"/>
      <c r="E51" s="532"/>
      <c r="F51" s="533"/>
      <c r="G51" s="534">
        <f>IF(G25="","",G25)</f>
        <v>1</v>
      </c>
      <c r="H51" s="533"/>
      <c r="I51" s="534">
        <f>IF(I25="","",I25)</f>
        <v>2</v>
      </c>
      <c r="J51" s="533"/>
      <c r="K51" s="264"/>
      <c r="L51" s="265"/>
      <c r="M51" s="265"/>
      <c r="N51" s="265"/>
      <c r="O51" s="265"/>
      <c r="P51" s="265"/>
      <c r="Q51" s="265"/>
      <c r="R51" s="265"/>
      <c r="S51" s="265"/>
      <c r="T51" s="266"/>
      <c r="U51" s="252"/>
      <c r="V51" s="253">
        <f t="shared" si="5"/>
        <v>0</v>
      </c>
      <c r="W51" s="253">
        <f t="shared" si="5"/>
        <v>0</v>
      </c>
      <c r="X51" s="253">
        <f t="shared" si="5"/>
        <v>0</v>
      </c>
      <c r="Y51" s="535">
        <f t="shared" si="5"/>
        <v>0</v>
      </c>
      <c r="Z51" s="536"/>
      <c r="AA51" s="533"/>
    </row>
    <row r="52" spans="1:28" s="136" customFormat="1" ht="10.5" x14ac:dyDescent="0.15">
      <c r="B52" s="142" t="s">
        <v>158</v>
      </c>
      <c r="D52" s="142"/>
      <c r="F52" s="143"/>
      <c r="G52" s="143"/>
      <c r="H52" s="143"/>
      <c r="I52" s="143"/>
      <c r="J52" s="142"/>
      <c r="K52" s="142"/>
      <c r="M52" s="142"/>
      <c r="N52" s="142"/>
      <c r="O52" s="142"/>
      <c r="P52" s="142"/>
      <c r="Q52" s="142"/>
      <c r="R52" s="142"/>
      <c r="S52" s="142"/>
      <c r="T52" s="142"/>
      <c r="U52" s="142"/>
      <c r="V52" s="142"/>
      <c r="W52" s="142"/>
      <c r="X52" s="142"/>
      <c r="Y52" s="142"/>
      <c r="Z52" s="142"/>
      <c r="AA52" s="142"/>
      <c r="AB52" s="142"/>
    </row>
    <row r="53" spans="1:28" s="136" customFormat="1" ht="10.5" x14ac:dyDescent="0.15">
      <c r="B53" s="136" t="s">
        <v>105</v>
      </c>
      <c r="C53" s="184"/>
      <c r="E53" s="143"/>
      <c r="F53" s="143"/>
      <c r="G53" s="143"/>
      <c r="H53" s="143"/>
      <c r="I53" s="143"/>
      <c r="T53" s="435"/>
      <c r="U53" s="435"/>
      <c r="V53" s="435"/>
      <c r="W53" s="435"/>
      <c r="X53" s="435"/>
      <c r="Y53" s="435"/>
      <c r="Z53" s="435"/>
      <c r="AA53" s="435"/>
    </row>
  </sheetData>
  <mergeCells count="157">
    <mergeCell ref="A1:AA1"/>
    <mergeCell ref="AA2:AA3"/>
    <mergeCell ref="B7:E7"/>
    <mergeCell ref="X11:Y11"/>
    <mergeCell ref="X12:Y12"/>
    <mergeCell ref="B15:D15"/>
    <mergeCell ref="A16:O16"/>
    <mergeCell ref="P16:R16"/>
    <mergeCell ref="S16:AA16"/>
    <mergeCell ref="A17:A18"/>
    <mergeCell ref="B17:C18"/>
    <mergeCell ref="D17:E18"/>
    <mergeCell ref="F17:F18"/>
    <mergeCell ref="G17:J17"/>
    <mergeCell ref="K17:L18"/>
    <mergeCell ref="M17:O18"/>
    <mergeCell ref="W17:W18"/>
    <mergeCell ref="X17:X18"/>
    <mergeCell ref="Y17:AA18"/>
    <mergeCell ref="G18:H18"/>
    <mergeCell ref="I18:J18"/>
    <mergeCell ref="B19:C19"/>
    <mergeCell ref="D19:E19"/>
    <mergeCell ref="G19:H19"/>
    <mergeCell ref="I19:J19"/>
    <mergeCell ref="K19:L19"/>
    <mergeCell ref="P17:P18"/>
    <mergeCell ref="Q17:Q18"/>
    <mergeCell ref="R17:R18"/>
    <mergeCell ref="S17:T18"/>
    <mergeCell ref="U17:U18"/>
    <mergeCell ref="V17:V18"/>
    <mergeCell ref="M19:O19"/>
    <mergeCell ref="S19:T19"/>
    <mergeCell ref="Y19:AA19"/>
    <mergeCell ref="B20:C20"/>
    <mergeCell ref="D20:E20"/>
    <mergeCell ref="G20:H20"/>
    <mergeCell ref="I20:J20"/>
    <mergeCell ref="K20:L20"/>
    <mergeCell ref="M20:O20"/>
    <mergeCell ref="S20:T20"/>
    <mergeCell ref="Y20:AA20"/>
    <mergeCell ref="B21:C21"/>
    <mergeCell ref="D21:E21"/>
    <mergeCell ref="G21:H21"/>
    <mergeCell ref="I21:J21"/>
    <mergeCell ref="K21:L21"/>
    <mergeCell ref="M21:O21"/>
    <mergeCell ref="S21:T21"/>
    <mergeCell ref="Y21:AA21"/>
    <mergeCell ref="S22:T22"/>
    <mergeCell ref="Y22:AA22"/>
    <mergeCell ref="B23:C23"/>
    <mergeCell ref="D23:E23"/>
    <mergeCell ref="G23:H23"/>
    <mergeCell ref="I23:J23"/>
    <mergeCell ref="K23:L23"/>
    <mergeCell ref="M23:O23"/>
    <mergeCell ref="S23:T23"/>
    <mergeCell ref="Y23:AA23"/>
    <mergeCell ref="B22:C22"/>
    <mergeCell ref="D22:E22"/>
    <mergeCell ref="G22:H22"/>
    <mergeCell ref="I22:J22"/>
    <mergeCell ref="K22:L22"/>
    <mergeCell ref="M22:O22"/>
    <mergeCell ref="S24:T24"/>
    <mergeCell ref="Y24:AA24"/>
    <mergeCell ref="A25:F25"/>
    <mergeCell ref="G25:H25"/>
    <mergeCell ref="I25:J25"/>
    <mergeCell ref="Y25:AA25"/>
    <mergeCell ref="B24:C24"/>
    <mergeCell ref="D24:E24"/>
    <mergeCell ref="G24:H24"/>
    <mergeCell ref="I24:J24"/>
    <mergeCell ref="K24:L24"/>
    <mergeCell ref="M24:O24"/>
    <mergeCell ref="C33:J33"/>
    <mergeCell ref="C34:H34"/>
    <mergeCell ref="C35:H35"/>
    <mergeCell ref="X37:Y37"/>
    <mergeCell ref="X38:Y38"/>
    <mergeCell ref="B41:D41"/>
    <mergeCell ref="Y26:AA26"/>
    <mergeCell ref="T27:AA27"/>
    <mergeCell ref="A29:AA29"/>
    <mergeCell ref="A30:AA30"/>
    <mergeCell ref="C31:J31"/>
    <mergeCell ref="C32:J32"/>
    <mergeCell ref="P43:P44"/>
    <mergeCell ref="Q43:Q44"/>
    <mergeCell ref="R43:R44"/>
    <mergeCell ref="S43:T44"/>
    <mergeCell ref="M45:O45"/>
    <mergeCell ref="S45:T45"/>
    <mergeCell ref="A42:O42"/>
    <mergeCell ref="P42:R42"/>
    <mergeCell ref="S42:AA42"/>
    <mergeCell ref="A43:A44"/>
    <mergeCell ref="B43:C44"/>
    <mergeCell ref="D43:E44"/>
    <mergeCell ref="F43:F44"/>
    <mergeCell ref="G43:J43"/>
    <mergeCell ref="K43:L44"/>
    <mergeCell ref="M43:O44"/>
    <mergeCell ref="W43:W44"/>
    <mergeCell ref="X43:X44"/>
    <mergeCell ref="Y43:AA44"/>
    <mergeCell ref="G44:H44"/>
    <mergeCell ref="I44:J44"/>
    <mergeCell ref="U43:U44"/>
    <mergeCell ref="V43:V44"/>
    <mergeCell ref="Y45:AA45"/>
    <mergeCell ref="B46:C46"/>
    <mergeCell ref="D46:E46"/>
    <mergeCell ref="G46:H46"/>
    <mergeCell ref="I46:J46"/>
    <mergeCell ref="K46:L46"/>
    <mergeCell ref="M46:O46"/>
    <mergeCell ref="S46:T46"/>
    <mergeCell ref="Y46:AA46"/>
    <mergeCell ref="B45:C45"/>
    <mergeCell ref="D45:E45"/>
    <mergeCell ref="G45:H45"/>
    <mergeCell ref="I45:J45"/>
    <mergeCell ref="K45:L45"/>
    <mergeCell ref="B48:C48"/>
    <mergeCell ref="D48:E48"/>
    <mergeCell ref="G48:H48"/>
    <mergeCell ref="I48:J48"/>
    <mergeCell ref="K48:L48"/>
    <mergeCell ref="M48:O48"/>
    <mergeCell ref="S48:T48"/>
    <mergeCell ref="Y48:AA48"/>
    <mergeCell ref="A51:F51"/>
    <mergeCell ref="G51:H51"/>
    <mergeCell ref="I51:J51"/>
    <mergeCell ref="Y51:AA51"/>
    <mergeCell ref="T53:AA53"/>
    <mergeCell ref="S49:T49"/>
    <mergeCell ref="Y49:AA49"/>
    <mergeCell ref="B50:C50"/>
    <mergeCell ref="D50:E50"/>
    <mergeCell ref="G50:H50"/>
    <mergeCell ref="I50:J50"/>
    <mergeCell ref="K50:L50"/>
    <mergeCell ref="M50:O50"/>
    <mergeCell ref="S50:T50"/>
    <mergeCell ref="Y50:AA50"/>
    <mergeCell ref="B49:C49"/>
    <mergeCell ref="D49:E49"/>
    <mergeCell ref="G49:H49"/>
    <mergeCell ref="I49:J49"/>
    <mergeCell ref="K49:L49"/>
    <mergeCell ref="M49:O49"/>
  </mergeCells>
  <phoneticPr fontId="3"/>
  <pageMargins left="0.78740157480314965" right="0.19685039370078741" top="0.39370078740157483" bottom="0.31496062992125984" header="0.51181102362204722" footer="0.51181102362204722"/>
  <pageSetup paperSize="8"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BCC65-A3E8-4328-ABE8-35B6D28CCC9D}">
  <sheetPr codeName="Sheet11"/>
  <dimension ref="A1:AL109"/>
  <sheetViews>
    <sheetView zoomScaleNormal="100" workbookViewId="0">
      <selection activeCell="AH19" sqref="AH19"/>
    </sheetView>
  </sheetViews>
  <sheetFormatPr defaultRowHeight="13.5" x14ac:dyDescent="0.15"/>
  <cols>
    <col min="1" max="1" width="3.625" style="3" customWidth="1"/>
    <col min="2" max="3" width="12.625" style="3" customWidth="1"/>
    <col min="4" max="4" width="7.625" style="3" customWidth="1"/>
    <col min="5" max="5" width="5.25" style="3" customWidth="1"/>
    <col min="6" max="6" width="8.125" style="3" customWidth="1"/>
    <col min="7" max="7" width="1.625" style="3" customWidth="1"/>
    <col min="8" max="8" width="5.625" style="3" customWidth="1"/>
    <col min="9" max="9" width="1.625" style="3" customWidth="1"/>
    <col min="10" max="10" width="5.625" style="3" customWidth="1"/>
    <col min="11" max="11" width="1.625" style="3" customWidth="1"/>
    <col min="12" max="12" width="8.625" style="3" customWidth="1"/>
    <col min="13" max="14" width="1.625" style="3" hidden="1" customWidth="1"/>
    <col min="15" max="15" width="12.625" style="3" hidden="1" customWidth="1"/>
    <col min="16" max="16" width="12.25" style="3" customWidth="1"/>
    <col min="17" max="17" width="6.625" style="3" customWidth="1"/>
    <col min="18" max="18" width="9.625" style="3" customWidth="1"/>
    <col min="19" max="20" width="7.625" style="3" customWidth="1"/>
    <col min="21" max="21" width="6.625" style="3" customWidth="1"/>
    <col min="22" max="22" width="14.625" style="3" customWidth="1"/>
    <col min="23" max="23" width="13.625" style="3" customWidth="1"/>
    <col min="24" max="24" width="9.625" style="3" hidden="1" customWidth="1"/>
    <col min="25" max="25" width="16.625" style="3" customWidth="1"/>
    <col min="26" max="26" width="3.625" style="3" customWidth="1"/>
    <col min="27" max="27" width="5.625" style="3" customWidth="1"/>
    <col min="28" max="28" width="6.625" style="3" customWidth="1"/>
    <col min="29" max="256" width="9" style="3"/>
    <col min="257" max="257" width="3.625" style="3" customWidth="1"/>
    <col min="258" max="259" width="12.625" style="3" customWidth="1"/>
    <col min="260" max="260" width="7.625" style="3" customWidth="1"/>
    <col min="261" max="261" width="5.25" style="3" customWidth="1"/>
    <col min="262" max="262" width="8.125" style="3" customWidth="1"/>
    <col min="263" max="263" width="1.625" style="3" customWidth="1"/>
    <col min="264" max="264" width="5.625" style="3" customWidth="1"/>
    <col min="265" max="265" width="1.625" style="3" customWidth="1"/>
    <col min="266" max="266" width="5.625" style="3" customWidth="1"/>
    <col min="267" max="267" width="1.625" style="3" customWidth="1"/>
    <col min="268" max="268" width="8.625" style="3" customWidth="1"/>
    <col min="269" max="271" width="0" style="3" hidden="1" customWidth="1"/>
    <col min="272" max="272" width="12.25" style="3" customWidth="1"/>
    <col min="273" max="273" width="6.625" style="3" customWidth="1"/>
    <col min="274" max="274" width="9.625" style="3" customWidth="1"/>
    <col min="275" max="276" width="7.625" style="3" customWidth="1"/>
    <col min="277" max="277" width="6.625" style="3" customWidth="1"/>
    <col min="278" max="278" width="14.625" style="3" customWidth="1"/>
    <col min="279" max="279" width="13.625" style="3" customWidth="1"/>
    <col min="280" max="280" width="0" style="3" hidden="1" customWidth="1"/>
    <col min="281" max="281" width="16.625" style="3" customWidth="1"/>
    <col min="282" max="282" width="3.625" style="3" customWidth="1"/>
    <col min="283" max="283" width="5.625" style="3" customWidth="1"/>
    <col min="284" max="284" width="6.625" style="3" customWidth="1"/>
    <col min="285" max="512" width="9" style="3"/>
    <col min="513" max="513" width="3.625" style="3" customWidth="1"/>
    <col min="514" max="515" width="12.625" style="3" customWidth="1"/>
    <col min="516" max="516" width="7.625" style="3" customWidth="1"/>
    <col min="517" max="517" width="5.25" style="3" customWidth="1"/>
    <col min="518" max="518" width="8.125" style="3" customWidth="1"/>
    <col min="519" max="519" width="1.625" style="3" customWidth="1"/>
    <col min="520" max="520" width="5.625" style="3" customWidth="1"/>
    <col min="521" max="521" width="1.625" style="3" customWidth="1"/>
    <col min="522" max="522" width="5.625" style="3" customWidth="1"/>
    <col min="523" max="523" width="1.625" style="3" customWidth="1"/>
    <col min="524" max="524" width="8.625" style="3" customWidth="1"/>
    <col min="525" max="527" width="0" style="3" hidden="1" customWidth="1"/>
    <col min="528" max="528" width="12.25" style="3" customWidth="1"/>
    <col min="529" max="529" width="6.625" style="3" customWidth="1"/>
    <col min="530" max="530" width="9.625" style="3" customWidth="1"/>
    <col min="531" max="532" width="7.625" style="3" customWidth="1"/>
    <col min="533" max="533" width="6.625" style="3" customWidth="1"/>
    <col min="534" max="534" width="14.625" style="3" customWidth="1"/>
    <col min="535" max="535" width="13.625" style="3" customWidth="1"/>
    <col min="536" max="536" width="0" style="3" hidden="1" customWidth="1"/>
    <col min="537" max="537" width="16.625" style="3" customWidth="1"/>
    <col min="538" max="538" width="3.625" style="3" customWidth="1"/>
    <col min="539" max="539" width="5.625" style="3" customWidth="1"/>
    <col min="540" max="540" width="6.625" style="3" customWidth="1"/>
    <col min="541" max="768" width="9" style="3"/>
    <col min="769" max="769" width="3.625" style="3" customWidth="1"/>
    <col min="770" max="771" width="12.625" style="3" customWidth="1"/>
    <col min="772" max="772" width="7.625" style="3" customWidth="1"/>
    <col min="773" max="773" width="5.25" style="3" customWidth="1"/>
    <col min="774" max="774" width="8.125" style="3" customWidth="1"/>
    <col min="775" max="775" width="1.625" style="3" customWidth="1"/>
    <col min="776" max="776" width="5.625" style="3" customWidth="1"/>
    <col min="777" max="777" width="1.625" style="3" customWidth="1"/>
    <col min="778" max="778" width="5.625" style="3" customWidth="1"/>
    <col min="779" max="779" width="1.625" style="3" customWidth="1"/>
    <col min="780" max="780" width="8.625" style="3" customWidth="1"/>
    <col min="781" max="783" width="0" style="3" hidden="1" customWidth="1"/>
    <col min="784" max="784" width="12.25" style="3" customWidth="1"/>
    <col min="785" max="785" width="6.625" style="3" customWidth="1"/>
    <col min="786" max="786" width="9.625" style="3" customWidth="1"/>
    <col min="787" max="788" width="7.625" style="3" customWidth="1"/>
    <col min="789" max="789" width="6.625" style="3" customWidth="1"/>
    <col min="790" max="790" width="14.625" style="3" customWidth="1"/>
    <col min="791" max="791" width="13.625" style="3" customWidth="1"/>
    <col min="792" max="792" width="0" style="3" hidden="1" customWidth="1"/>
    <col min="793" max="793" width="16.625" style="3" customWidth="1"/>
    <col min="794" max="794" width="3.625" style="3" customWidth="1"/>
    <col min="795" max="795" width="5.625" style="3" customWidth="1"/>
    <col min="796" max="796" width="6.625" style="3" customWidth="1"/>
    <col min="797" max="1024" width="9" style="3"/>
    <col min="1025" max="1025" width="3.625" style="3" customWidth="1"/>
    <col min="1026" max="1027" width="12.625" style="3" customWidth="1"/>
    <col min="1028" max="1028" width="7.625" style="3" customWidth="1"/>
    <col min="1029" max="1029" width="5.25" style="3" customWidth="1"/>
    <col min="1030" max="1030" width="8.125" style="3" customWidth="1"/>
    <col min="1031" max="1031" width="1.625" style="3" customWidth="1"/>
    <col min="1032" max="1032" width="5.625" style="3" customWidth="1"/>
    <col min="1033" max="1033" width="1.625" style="3" customWidth="1"/>
    <col min="1034" max="1034" width="5.625" style="3" customWidth="1"/>
    <col min="1035" max="1035" width="1.625" style="3" customWidth="1"/>
    <col min="1036" max="1036" width="8.625" style="3" customWidth="1"/>
    <col min="1037" max="1039" width="0" style="3" hidden="1" customWidth="1"/>
    <col min="1040" max="1040" width="12.25" style="3" customWidth="1"/>
    <col min="1041" max="1041" width="6.625" style="3" customWidth="1"/>
    <col min="1042" max="1042" width="9.625" style="3" customWidth="1"/>
    <col min="1043" max="1044" width="7.625" style="3" customWidth="1"/>
    <col min="1045" max="1045" width="6.625" style="3" customWidth="1"/>
    <col min="1046" max="1046" width="14.625" style="3" customWidth="1"/>
    <col min="1047" max="1047" width="13.625" style="3" customWidth="1"/>
    <col min="1048" max="1048" width="0" style="3" hidden="1" customWidth="1"/>
    <col min="1049" max="1049" width="16.625" style="3" customWidth="1"/>
    <col min="1050" max="1050" width="3.625" style="3" customWidth="1"/>
    <col min="1051" max="1051" width="5.625" style="3" customWidth="1"/>
    <col min="1052" max="1052" width="6.625" style="3" customWidth="1"/>
    <col min="1053" max="1280" width="9" style="3"/>
    <col min="1281" max="1281" width="3.625" style="3" customWidth="1"/>
    <col min="1282" max="1283" width="12.625" style="3" customWidth="1"/>
    <col min="1284" max="1284" width="7.625" style="3" customWidth="1"/>
    <col min="1285" max="1285" width="5.25" style="3" customWidth="1"/>
    <col min="1286" max="1286" width="8.125" style="3" customWidth="1"/>
    <col min="1287" max="1287" width="1.625" style="3" customWidth="1"/>
    <col min="1288" max="1288" width="5.625" style="3" customWidth="1"/>
    <col min="1289" max="1289" width="1.625" style="3" customWidth="1"/>
    <col min="1290" max="1290" width="5.625" style="3" customWidth="1"/>
    <col min="1291" max="1291" width="1.625" style="3" customWidth="1"/>
    <col min="1292" max="1292" width="8.625" style="3" customWidth="1"/>
    <col min="1293" max="1295" width="0" style="3" hidden="1" customWidth="1"/>
    <col min="1296" max="1296" width="12.25" style="3" customWidth="1"/>
    <col min="1297" max="1297" width="6.625" style="3" customWidth="1"/>
    <col min="1298" max="1298" width="9.625" style="3" customWidth="1"/>
    <col min="1299" max="1300" width="7.625" style="3" customWidth="1"/>
    <col min="1301" max="1301" width="6.625" style="3" customWidth="1"/>
    <col min="1302" max="1302" width="14.625" style="3" customWidth="1"/>
    <col min="1303" max="1303" width="13.625" style="3" customWidth="1"/>
    <col min="1304" max="1304" width="0" style="3" hidden="1" customWidth="1"/>
    <col min="1305" max="1305" width="16.625" style="3" customWidth="1"/>
    <col min="1306" max="1306" width="3.625" style="3" customWidth="1"/>
    <col min="1307" max="1307" width="5.625" style="3" customWidth="1"/>
    <col min="1308" max="1308" width="6.625" style="3" customWidth="1"/>
    <col min="1309" max="1536" width="9" style="3"/>
    <col min="1537" max="1537" width="3.625" style="3" customWidth="1"/>
    <col min="1538" max="1539" width="12.625" style="3" customWidth="1"/>
    <col min="1540" max="1540" width="7.625" style="3" customWidth="1"/>
    <col min="1541" max="1541" width="5.25" style="3" customWidth="1"/>
    <col min="1542" max="1542" width="8.125" style="3" customWidth="1"/>
    <col min="1543" max="1543" width="1.625" style="3" customWidth="1"/>
    <col min="1544" max="1544" width="5.625" style="3" customWidth="1"/>
    <col min="1545" max="1545" width="1.625" style="3" customWidth="1"/>
    <col min="1546" max="1546" width="5.625" style="3" customWidth="1"/>
    <col min="1547" max="1547" width="1.625" style="3" customWidth="1"/>
    <col min="1548" max="1548" width="8.625" style="3" customWidth="1"/>
    <col min="1549" max="1551" width="0" style="3" hidden="1" customWidth="1"/>
    <col min="1552" max="1552" width="12.25" style="3" customWidth="1"/>
    <col min="1553" max="1553" width="6.625" style="3" customWidth="1"/>
    <col min="1554" max="1554" width="9.625" style="3" customWidth="1"/>
    <col min="1555" max="1556" width="7.625" style="3" customWidth="1"/>
    <col min="1557" max="1557" width="6.625" style="3" customWidth="1"/>
    <col min="1558" max="1558" width="14.625" style="3" customWidth="1"/>
    <col min="1559" max="1559" width="13.625" style="3" customWidth="1"/>
    <col min="1560" max="1560" width="0" style="3" hidden="1" customWidth="1"/>
    <col min="1561" max="1561" width="16.625" style="3" customWidth="1"/>
    <col min="1562" max="1562" width="3.625" style="3" customWidth="1"/>
    <col min="1563" max="1563" width="5.625" style="3" customWidth="1"/>
    <col min="1564" max="1564" width="6.625" style="3" customWidth="1"/>
    <col min="1565" max="1792" width="9" style="3"/>
    <col min="1793" max="1793" width="3.625" style="3" customWidth="1"/>
    <col min="1794" max="1795" width="12.625" style="3" customWidth="1"/>
    <col min="1796" max="1796" width="7.625" style="3" customWidth="1"/>
    <col min="1797" max="1797" width="5.25" style="3" customWidth="1"/>
    <col min="1798" max="1798" width="8.125" style="3" customWidth="1"/>
    <col min="1799" max="1799" width="1.625" style="3" customWidth="1"/>
    <col min="1800" max="1800" width="5.625" style="3" customWidth="1"/>
    <col min="1801" max="1801" width="1.625" style="3" customWidth="1"/>
    <col min="1802" max="1802" width="5.625" style="3" customWidth="1"/>
    <col min="1803" max="1803" width="1.625" style="3" customWidth="1"/>
    <col min="1804" max="1804" width="8.625" style="3" customWidth="1"/>
    <col min="1805" max="1807" width="0" style="3" hidden="1" customWidth="1"/>
    <col min="1808" max="1808" width="12.25" style="3" customWidth="1"/>
    <col min="1809" max="1809" width="6.625" style="3" customWidth="1"/>
    <col min="1810" max="1810" width="9.625" style="3" customWidth="1"/>
    <col min="1811" max="1812" width="7.625" style="3" customWidth="1"/>
    <col min="1813" max="1813" width="6.625" style="3" customWidth="1"/>
    <col min="1814" max="1814" width="14.625" style="3" customWidth="1"/>
    <col min="1815" max="1815" width="13.625" style="3" customWidth="1"/>
    <col min="1816" max="1816" width="0" style="3" hidden="1" customWidth="1"/>
    <col min="1817" max="1817" width="16.625" style="3" customWidth="1"/>
    <col min="1818" max="1818" width="3.625" style="3" customWidth="1"/>
    <col min="1819" max="1819" width="5.625" style="3" customWidth="1"/>
    <col min="1820" max="1820" width="6.625" style="3" customWidth="1"/>
    <col min="1821" max="2048" width="9" style="3"/>
    <col min="2049" max="2049" width="3.625" style="3" customWidth="1"/>
    <col min="2050" max="2051" width="12.625" style="3" customWidth="1"/>
    <col min="2052" max="2052" width="7.625" style="3" customWidth="1"/>
    <col min="2053" max="2053" width="5.25" style="3" customWidth="1"/>
    <col min="2054" max="2054" width="8.125" style="3" customWidth="1"/>
    <col min="2055" max="2055" width="1.625" style="3" customWidth="1"/>
    <col min="2056" max="2056" width="5.625" style="3" customWidth="1"/>
    <col min="2057" max="2057" width="1.625" style="3" customWidth="1"/>
    <col min="2058" max="2058" width="5.625" style="3" customWidth="1"/>
    <col min="2059" max="2059" width="1.625" style="3" customWidth="1"/>
    <col min="2060" max="2060" width="8.625" style="3" customWidth="1"/>
    <col min="2061" max="2063" width="0" style="3" hidden="1" customWidth="1"/>
    <col min="2064" max="2064" width="12.25" style="3" customWidth="1"/>
    <col min="2065" max="2065" width="6.625" style="3" customWidth="1"/>
    <col min="2066" max="2066" width="9.625" style="3" customWidth="1"/>
    <col min="2067" max="2068" width="7.625" style="3" customWidth="1"/>
    <col min="2069" max="2069" width="6.625" style="3" customWidth="1"/>
    <col min="2070" max="2070" width="14.625" style="3" customWidth="1"/>
    <col min="2071" max="2071" width="13.625" style="3" customWidth="1"/>
    <col min="2072" max="2072" width="0" style="3" hidden="1" customWidth="1"/>
    <col min="2073" max="2073" width="16.625" style="3" customWidth="1"/>
    <col min="2074" max="2074" width="3.625" style="3" customWidth="1"/>
    <col min="2075" max="2075" width="5.625" style="3" customWidth="1"/>
    <col min="2076" max="2076" width="6.625" style="3" customWidth="1"/>
    <col min="2077" max="2304" width="9" style="3"/>
    <col min="2305" max="2305" width="3.625" style="3" customWidth="1"/>
    <col min="2306" max="2307" width="12.625" style="3" customWidth="1"/>
    <col min="2308" max="2308" width="7.625" style="3" customWidth="1"/>
    <col min="2309" max="2309" width="5.25" style="3" customWidth="1"/>
    <col min="2310" max="2310" width="8.125" style="3" customWidth="1"/>
    <col min="2311" max="2311" width="1.625" style="3" customWidth="1"/>
    <col min="2312" max="2312" width="5.625" style="3" customWidth="1"/>
    <col min="2313" max="2313" width="1.625" style="3" customWidth="1"/>
    <col min="2314" max="2314" width="5.625" style="3" customWidth="1"/>
    <col min="2315" max="2315" width="1.625" style="3" customWidth="1"/>
    <col min="2316" max="2316" width="8.625" style="3" customWidth="1"/>
    <col min="2317" max="2319" width="0" style="3" hidden="1" customWidth="1"/>
    <col min="2320" max="2320" width="12.25" style="3" customWidth="1"/>
    <col min="2321" max="2321" width="6.625" style="3" customWidth="1"/>
    <col min="2322" max="2322" width="9.625" style="3" customWidth="1"/>
    <col min="2323" max="2324" width="7.625" style="3" customWidth="1"/>
    <col min="2325" max="2325" width="6.625" style="3" customWidth="1"/>
    <col min="2326" max="2326" width="14.625" style="3" customWidth="1"/>
    <col min="2327" max="2327" width="13.625" style="3" customWidth="1"/>
    <col min="2328" max="2328" width="0" style="3" hidden="1" customWidth="1"/>
    <col min="2329" max="2329" width="16.625" style="3" customWidth="1"/>
    <col min="2330" max="2330" width="3.625" style="3" customWidth="1"/>
    <col min="2331" max="2331" width="5.625" style="3" customWidth="1"/>
    <col min="2332" max="2332" width="6.625" style="3" customWidth="1"/>
    <col min="2333" max="2560" width="9" style="3"/>
    <col min="2561" max="2561" width="3.625" style="3" customWidth="1"/>
    <col min="2562" max="2563" width="12.625" style="3" customWidth="1"/>
    <col min="2564" max="2564" width="7.625" style="3" customWidth="1"/>
    <col min="2565" max="2565" width="5.25" style="3" customWidth="1"/>
    <col min="2566" max="2566" width="8.125" style="3" customWidth="1"/>
    <col min="2567" max="2567" width="1.625" style="3" customWidth="1"/>
    <col min="2568" max="2568" width="5.625" style="3" customWidth="1"/>
    <col min="2569" max="2569" width="1.625" style="3" customWidth="1"/>
    <col min="2570" max="2570" width="5.625" style="3" customWidth="1"/>
    <col min="2571" max="2571" width="1.625" style="3" customWidth="1"/>
    <col min="2572" max="2572" width="8.625" style="3" customWidth="1"/>
    <col min="2573" max="2575" width="0" style="3" hidden="1" customWidth="1"/>
    <col min="2576" max="2576" width="12.25" style="3" customWidth="1"/>
    <col min="2577" max="2577" width="6.625" style="3" customWidth="1"/>
    <col min="2578" max="2578" width="9.625" style="3" customWidth="1"/>
    <col min="2579" max="2580" width="7.625" style="3" customWidth="1"/>
    <col min="2581" max="2581" width="6.625" style="3" customWidth="1"/>
    <col min="2582" max="2582" width="14.625" style="3" customWidth="1"/>
    <col min="2583" max="2583" width="13.625" style="3" customWidth="1"/>
    <col min="2584" max="2584" width="0" style="3" hidden="1" customWidth="1"/>
    <col min="2585" max="2585" width="16.625" style="3" customWidth="1"/>
    <col min="2586" max="2586" width="3.625" style="3" customWidth="1"/>
    <col min="2587" max="2587" width="5.625" style="3" customWidth="1"/>
    <col min="2588" max="2588" width="6.625" style="3" customWidth="1"/>
    <col min="2589" max="2816" width="9" style="3"/>
    <col min="2817" max="2817" width="3.625" style="3" customWidth="1"/>
    <col min="2818" max="2819" width="12.625" style="3" customWidth="1"/>
    <col min="2820" max="2820" width="7.625" style="3" customWidth="1"/>
    <col min="2821" max="2821" width="5.25" style="3" customWidth="1"/>
    <col min="2822" max="2822" width="8.125" style="3" customWidth="1"/>
    <col min="2823" max="2823" width="1.625" style="3" customWidth="1"/>
    <col min="2824" max="2824" width="5.625" style="3" customWidth="1"/>
    <col min="2825" max="2825" width="1.625" style="3" customWidth="1"/>
    <col min="2826" max="2826" width="5.625" style="3" customWidth="1"/>
    <col min="2827" max="2827" width="1.625" style="3" customWidth="1"/>
    <col min="2828" max="2828" width="8.625" style="3" customWidth="1"/>
    <col min="2829" max="2831" width="0" style="3" hidden="1" customWidth="1"/>
    <col min="2832" max="2832" width="12.25" style="3" customWidth="1"/>
    <col min="2833" max="2833" width="6.625" style="3" customWidth="1"/>
    <col min="2834" max="2834" width="9.625" style="3" customWidth="1"/>
    <col min="2835" max="2836" width="7.625" style="3" customWidth="1"/>
    <col min="2837" max="2837" width="6.625" style="3" customWidth="1"/>
    <col min="2838" max="2838" width="14.625" style="3" customWidth="1"/>
    <col min="2839" max="2839" width="13.625" style="3" customWidth="1"/>
    <col min="2840" max="2840" width="0" style="3" hidden="1" customWidth="1"/>
    <col min="2841" max="2841" width="16.625" style="3" customWidth="1"/>
    <col min="2842" max="2842" width="3.625" style="3" customWidth="1"/>
    <col min="2843" max="2843" width="5.625" style="3" customWidth="1"/>
    <col min="2844" max="2844" width="6.625" style="3" customWidth="1"/>
    <col min="2845" max="3072" width="9" style="3"/>
    <col min="3073" max="3073" width="3.625" style="3" customWidth="1"/>
    <col min="3074" max="3075" width="12.625" style="3" customWidth="1"/>
    <col min="3076" max="3076" width="7.625" style="3" customWidth="1"/>
    <col min="3077" max="3077" width="5.25" style="3" customWidth="1"/>
    <col min="3078" max="3078" width="8.125" style="3" customWidth="1"/>
    <col min="3079" max="3079" width="1.625" style="3" customWidth="1"/>
    <col min="3080" max="3080" width="5.625" style="3" customWidth="1"/>
    <col min="3081" max="3081" width="1.625" style="3" customWidth="1"/>
    <col min="3082" max="3082" width="5.625" style="3" customWidth="1"/>
    <col min="3083" max="3083" width="1.625" style="3" customWidth="1"/>
    <col min="3084" max="3084" width="8.625" style="3" customWidth="1"/>
    <col min="3085" max="3087" width="0" style="3" hidden="1" customWidth="1"/>
    <col min="3088" max="3088" width="12.25" style="3" customWidth="1"/>
    <col min="3089" max="3089" width="6.625" style="3" customWidth="1"/>
    <col min="3090" max="3090" width="9.625" style="3" customWidth="1"/>
    <col min="3091" max="3092" width="7.625" style="3" customWidth="1"/>
    <col min="3093" max="3093" width="6.625" style="3" customWidth="1"/>
    <col min="3094" max="3094" width="14.625" style="3" customWidth="1"/>
    <col min="3095" max="3095" width="13.625" style="3" customWidth="1"/>
    <col min="3096" max="3096" width="0" style="3" hidden="1" customWidth="1"/>
    <col min="3097" max="3097" width="16.625" style="3" customWidth="1"/>
    <col min="3098" max="3098" width="3.625" style="3" customWidth="1"/>
    <col min="3099" max="3099" width="5.625" style="3" customWidth="1"/>
    <col min="3100" max="3100" width="6.625" style="3" customWidth="1"/>
    <col min="3101" max="3328" width="9" style="3"/>
    <col min="3329" max="3329" width="3.625" style="3" customWidth="1"/>
    <col min="3330" max="3331" width="12.625" style="3" customWidth="1"/>
    <col min="3332" max="3332" width="7.625" style="3" customWidth="1"/>
    <col min="3333" max="3333" width="5.25" style="3" customWidth="1"/>
    <col min="3334" max="3334" width="8.125" style="3" customWidth="1"/>
    <col min="3335" max="3335" width="1.625" style="3" customWidth="1"/>
    <col min="3336" max="3336" width="5.625" style="3" customWidth="1"/>
    <col min="3337" max="3337" width="1.625" style="3" customWidth="1"/>
    <col min="3338" max="3338" width="5.625" style="3" customWidth="1"/>
    <col min="3339" max="3339" width="1.625" style="3" customWidth="1"/>
    <col min="3340" max="3340" width="8.625" style="3" customWidth="1"/>
    <col min="3341" max="3343" width="0" style="3" hidden="1" customWidth="1"/>
    <col min="3344" max="3344" width="12.25" style="3" customWidth="1"/>
    <col min="3345" max="3345" width="6.625" style="3" customWidth="1"/>
    <col min="3346" max="3346" width="9.625" style="3" customWidth="1"/>
    <col min="3347" max="3348" width="7.625" style="3" customWidth="1"/>
    <col min="3349" max="3349" width="6.625" style="3" customWidth="1"/>
    <col min="3350" max="3350" width="14.625" style="3" customWidth="1"/>
    <col min="3351" max="3351" width="13.625" style="3" customWidth="1"/>
    <col min="3352" max="3352" width="0" style="3" hidden="1" customWidth="1"/>
    <col min="3353" max="3353" width="16.625" style="3" customWidth="1"/>
    <col min="3354" max="3354" width="3.625" style="3" customWidth="1"/>
    <col min="3355" max="3355" width="5.625" style="3" customWidth="1"/>
    <col min="3356" max="3356" width="6.625" style="3" customWidth="1"/>
    <col min="3357" max="3584" width="9" style="3"/>
    <col min="3585" max="3585" width="3.625" style="3" customWidth="1"/>
    <col min="3586" max="3587" width="12.625" style="3" customWidth="1"/>
    <col min="3588" max="3588" width="7.625" style="3" customWidth="1"/>
    <col min="3589" max="3589" width="5.25" style="3" customWidth="1"/>
    <col min="3590" max="3590" width="8.125" style="3" customWidth="1"/>
    <col min="3591" max="3591" width="1.625" style="3" customWidth="1"/>
    <col min="3592" max="3592" width="5.625" style="3" customWidth="1"/>
    <col min="3593" max="3593" width="1.625" style="3" customWidth="1"/>
    <col min="3594" max="3594" width="5.625" style="3" customWidth="1"/>
    <col min="3595" max="3595" width="1.625" style="3" customWidth="1"/>
    <col min="3596" max="3596" width="8.625" style="3" customWidth="1"/>
    <col min="3597" max="3599" width="0" style="3" hidden="1" customWidth="1"/>
    <col min="3600" max="3600" width="12.25" style="3" customWidth="1"/>
    <col min="3601" max="3601" width="6.625" style="3" customWidth="1"/>
    <col min="3602" max="3602" width="9.625" style="3" customWidth="1"/>
    <col min="3603" max="3604" width="7.625" style="3" customWidth="1"/>
    <col min="3605" max="3605" width="6.625" style="3" customWidth="1"/>
    <col min="3606" max="3606" width="14.625" style="3" customWidth="1"/>
    <col min="3607" max="3607" width="13.625" style="3" customWidth="1"/>
    <col min="3608" max="3608" width="0" style="3" hidden="1" customWidth="1"/>
    <col min="3609" max="3609" width="16.625" style="3" customWidth="1"/>
    <col min="3610" max="3610" width="3.625" style="3" customWidth="1"/>
    <col min="3611" max="3611" width="5.625" style="3" customWidth="1"/>
    <col min="3612" max="3612" width="6.625" style="3" customWidth="1"/>
    <col min="3613" max="3840" width="9" style="3"/>
    <col min="3841" max="3841" width="3.625" style="3" customWidth="1"/>
    <col min="3842" max="3843" width="12.625" style="3" customWidth="1"/>
    <col min="3844" max="3844" width="7.625" style="3" customWidth="1"/>
    <col min="3845" max="3845" width="5.25" style="3" customWidth="1"/>
    <col min="3846" max="3846" width="8.125" style="3" customWidth="1"/>
    <col min="3847" max="3847" width="1.625" style="3" customWidth="1"/>
    <col min="3848" max="3848" width="5.625" style="3" customWidth="1"/>
    <col min="3849" max="3849" width="1.625" style="3" customWidth="1"/>
    <col min="3850" max="3850" width="5.625" style="3" customWidth="1"/>
    <col min="3851" max="3851" width="1.625" style="3" customWidth="1"/>
    <col min="3852" max="3852" width="8.625" style="3" customWidth="1"/>
    <col min="3853" max="3855" width="0" style="3" hidden="1" customWidth="1"/>
    <col min="3856" max="3856" width="12.25" style="3" customWidth="1"/>
    <col min="3857" max="3857" width="6.625" style="3" customWidth="1"/>
    <col min="3858" max="3858" width="9.625" style="3" customWidth="1"/>
    <col min="3859" max="3860" width="7.625" style="3" customWidth="1"/>
    <col min="3861" max="3861" width="6.625" style="3" customWidth="1"/>
    <col min="3862" max="3862" width="14.625" style="3" customWidth="1"/>
    <col min="3863" max="3863" width="13.625" style="3" customWidth="1"/>
    <col min="3864" max="3864" width="0" style="3" hidden="1" customWidth="1"/>
    <col min="3865" max="3865" width="16.625" style="3" customWidth="1"/>
    <col min="3866" max="3866" width="3.625" style="3" customWidth="1"/>
    <col min="3867" max="3867" width="5.625" style="3" customWidth="1"/>
    <col min="3868" max="3868" width="6.625" style="3" customWidth="1"/>
    <col min="3869" max="4096" width="9" style="3"/>
    <col min="4097" max="4097" width="3.625" style="3" customWidth="1"/>
    <col min="4098" max="4099" width="12.625" style="3" customWidth="1"/>
    <col min="4100" max="4100" width="7.625" style="3" customWidth="1"/>
    <col min="4101" max="4101" width="5.25" style="3" customWidth="1"/>
    <col min="4102" max="4102" width="8.125" style="3" customWidth="1"/>
    <col min="4103" max="4103" width="1.625" style="3" customWidth="1"/>
    <col min="4104" max="4104" width="5.625" style="3" customWidth="1"/>
    <col min="4105" max="4105" width="1.625" style="3" customWidth="1"/>
    <col min="4106" max="4106" width="5.625" style="3" customWidth="1"/>
    <col min="4107" max="4107" width="1.625" style="3" customWidth="1"/>
    <col min="4108" max="4108" width="8.625" style="3" customWidth="1"/>
    <col min="4109" max="4111" width="0" style="3" hidden="1" customWidth="1"/>
    <col min="4112" max="4112" width="12.25" style="3" customWidth="1"/>
    <col min="4113" max="4113" width="6.625" style="3" customWidth="1"/>
    <col min="4114" max="4114" width="9.625" style="3" customWidth="1"/>
    <col min="4115" max="4116" width="7.625" style="3" customWidth="1"/>
    <col min="4117" max="4117" width="6.625" style="3" customWidth="1"/>
    <col min="4118" max="4118" width="14.625" style="3" customWidth="1"/>
    <col min="4119" max="4119" width="13.625" style="3" customWidth="1"/>
    <col min="4120" max="4120" width="0" style="3" hidden="1" customWidth="1"/>
    <col min="4121" max="4121" width="16.625" style="3" customWidth="1"/>
    <col min="4122" max="4122" width="3.625" style="3" customWidth="1"/>
    <col min="4123" max="4123" width="5.625" style="3" customWidth="1"/>
    <col min="4124" max="4124" width="6.625" style="3" customWidth="1"/>
    <col min="4125" max="4352" width="9" style="3"/>
    <col min="4353" max="4353" width="3.625" style="3" customWidth="1"/>
    <col min="4354" max="4355" width="12.625" style="3" customWidth="1"/>
    <col min="4356" max="4356" width="7.625" style="3" customWidth="1"/>
    <col min="4357" max="4357" width="5.25" style="3" customWidth="1"/>
    <col min="4358" max="4358" width="8.125" style="3" customWidth="1"/>
    <col min="4359" max="4359" width="1.625" style="3" customWidth="1"/>
    <col min="4360" max="4360" width="5.625" style="3" customWidth="1"/>
    <col min="4361" max="4361" width="1.625" style="3" customWidth="1"/>
    <col min="4362" max="4362" width="5.625" style="3" customWidth="1"/>
    <col min="4363" max="4363" width="1.625" style="3" customWidth="1"/>
    <col min="4364" max="4364" width="8.625" style="3" customWidth="1"/>
    <col min="4365" max="4367" width="0" style="3" hidden="1" customWidth="1"/>
    <col min="4368" max="4368" width="12.25" style="3" customWidth="1"/>
    <col min="4369" max="4369" width="6.625" style="3" customWidth="1"/>
    <col min="4370" max="4370" width="9.625" style="3" customWidth="1"/>
    <col min="4371" max="4372" width="7.625" style="3" customWidth="1"/>
    <col min="4373" max="4373" width="6.625" style="3" customWidth="1"/>
    <col min="4374" max="4374" width="14.625" style="3" customWidth="1"/>
    <col min="4375" max="4375" width="13.625" style="3" customWidth="1"/>
    <col min="4376" max="4376" width="0" style="3" hidden="1" customWidth="1"/>
    <col min="4377" max="4377" width="16.625" style="3" customWidth="1"/>
    <col min="4378" max="4378" width="3.625" style="3" customWidth="1"/>
    <col min="4379" max="4379" width="5.625" style="3" customWidth="1"/>
    <col min="4380" max="4380" width="6.625" style="3" customWidth="1"/>
    <col min="4381" max="4608" width="9" style="3"/>
    <col min="4609" max="4609" width="3.625" style="3" customWidth="1"/>
    <col min="4610" max="4611" width="12.625" style="3" customWidth="1"/>
    <col min="4612" max="4612" width="7.625" style="3" customWidth="1"/>
    <col min="4613" max="4613" width="5.25" style="3" customWidth="1"/>
    <col min="4614" max="4614" width="8.125" style="3" customWidth="1"/>
    <col min="4615" max="4615" width="1.625" style="3" customWidth="1"/>
    <col min="4616" max="4616" width="5.625" style="3" customWidth="1"/>
    <col min="4617" max="4617" width="1.625" style="3" customWidth="1"/>
    <col min="4618" max="4618" width="5.625" style="3" customWidth="1"/>
    <col min="4619" max="4619" width="1.625" style="3" customWidth="1"/>
    <col min="4620" max="4620" width="8.625" style="3" customWidth="1"/>
    <col min="4621" max="4623" width="0" style="3" hidden="1" customWidth="1"/>
    <col min="4624" max="4624" width="12.25" style="3" customWidth="1"/>
    <col min="4625" max="4625" width="6.625" style="3" customWidth="1"/>
    <col min="4626" max="4626" width="9.625" style="3" customWidth="1"/>
    <col min="4627" max="4628" width="7.625" style="3" customWidth="1"/>
    <col min="4629" max="4629" width="6.625" style="3" customWidth="1"/>
    <col min="4630" max="4630" width="14.625" style="3" customWidth="1"/>
    <col min="4631" max="4631" width="13.625" style="3" customWidth="1"/>
    <col min="4632" max="4632" width="0" style="3" hidden="1" customWidth="1"/>
    <col min="4633" max="4633" width="16.625" style="3" customWidth="1"/>
    <col min="4634" max="4634" width="3.625" style="3" customWidth="1"/>
    <col min="4635" max="4635" width="5.625" style="3" customWidth="1"/>
    <col min="4636" max="4636" width="6.625" style="3" customWidth="1"/>
    <col min="4637" max="4864" width="9" style="3"/>
    <col min="4865" max="4865" width="3.625" style="3" customWidth="1"/>
    <col min="4866" max="4867" width="12.625" style="3" customWidth="1"/>
    <col min="4868" max="4868" width="7.625" style="3" customWidth="1"/>
    <col min="4869" max="4869" width="5.25" style="3" customWidth="1"/>
    <col min="4870" max="4870" width="8.125" style="3" customWidth="1"/>
    <col min="4871" max="4871" width="1.625" style="3" customWidth="1"/>
    <col min="4872" max="4872" width="5.625" style="3" customWidth="1"/>
    <col min="4873" max="4873" width="1.625" style="3" customWidth="1"/>
    <col min="4874" max="4874" width="5.625" style="3" customWidth="1"/>
    <col min="4875" max="4875" width="1.625" style="3" customWidth="1"/>
    <col min="4876" max="4876" width="8.625" style="3" customWidth="1"/>
    <col min="4877" max="4879" width="0" style="3" hidden="1" customWidth="1"/>
    <col min="4880" max="4880" width="12.25" style="3" customWidth="1"/>
    <col min="4881" max="4881" width="6.625" style="3" customWidth="1"/>
    <col min="4882" max="4882" width="9.625" style="3" customWidth="1"/>
    <col min="4883" max="4884" width="7.625" style="3" customWidth="1"/>
    <col min="4885" max="4885" width="6.625" style="3" customWidth="1"/>
    <col min="4886" max="4886" width="14.625" style="3" customWidth="1"/>
    <col min="4887" max="4887" width="13.625" style="3" customWidth="1"/>
    <col min="4888" max="4888" width="0" style="3" hidden="1" customWidth="1"/>
    <col min="4889" max="4889" width="16.625" style="3" customWidth="1"/>
    <col min="4890" max="4890" width="3.625" style="3" customWidth="1"/>
    <col min="4891" max="4891" width="5.625" style="3" customWidth="1"/>
    <col min="4892" max="4892" width="6.625" style="3" customWidth="1"/>
    <col min="4893" max="5120" width="9" style="3"/>
    <col min="5121" max="5121" width="3.625" style="3" customWidth="1"/>
    <col min="5122" max="5123" width="12.625" style="3" customWidth="1"/>
    <col min="5124" max="5124" width="7.625" style="3" customWidth="1"/>
    <col min="5125" max="5125" width="5.25" style="3" customWidth="1"/>
    <col min="5126" max="5126" width="8.125" style="3" customWidth="1"/>
    <col min="5127" max="5127" width="1.625" style="3" customWidth="1"/>
    <col min="5128" max="5128" width="5.625" style="3" customWidth="1"/>
    <col min="5129" max="5129" width="1.625" style="3" customWidth="1"/>
    <col min="5130" max="5130" width="5.625" style="3" customWidth="1"/>
    <col min="5131" max="5131" width="1.625" style="3" customWidth="1"/>
    <col min="5132" max="5132" width="8.625" style="3" customWidth="1"/>
    <col min="5133" max="5135" width="0" style="3" hidden="1" customWidth="1"/>
    <col min="5136" max="5136" width="12.25" style="3" customWidth="1"/>
    <col min="5137" max="5137" width="6.625" style="3" customWidth="1"/>
    <col min="5138" max="5138" width="9.625" style="3" customWidth="1"/>
    <col min="5139" max="5140" width="7.625" style="3" customWidth="1"/>
    <col min="5141" max="5141" width="6.625" style="3" customWidth="1"/>
    <col min="5142" max="5142" width="14.625" style="3" customWidth="1"/>
    <col min="5143" max="5143" width="13.625" style="3" customWidth="1"/>
    <col min="5144" max="5144" width="0" style="3" hidden="1" customWidth="1"/>
    <col min="5145" max="5145" width="16.625" style="3" customWidth="1"/>
    <col min="5146" max="5146" width="3.625" style="3" customWidth="1"/>
    <col min="5147" max="5147" width="5.625" style="3" customWidth="1"/>
    <col min="5148" max="5148" width="6.625" style="3" customWidth="1"/>
    <col min="5149" max="5376" width="9" style="3"/>
    <col min="5377" max="5377" width="3.625" style="3" customWidth="1"/>
    <col min="5378" max="5379" width="12.625" style="3" customWidth="1"/>
    <col min="5380" max="5380" width="7.625" style="3" customWidth="1"/>
    <col min="5381" max="5381" width="5.25" style="3" customWidth="1"/>
    <col min="5382" max="5382" width="8.125" style="3" customWidth="1"/>
    <col min="5383" max="5383" width="1.625" style="3" customWidth="1"/>
    <col min="5384" max="5384" width="5.625" style="3" customWidth="1"/>
    <col min="5385" max="5385" width="1.625" style="3" customWidth="1"/>
    <col min="5386" max="5386" width="5.625" style="3" customWidth="1"/>
    <col min="5387" max="5387" width="1.625" style="3" customWidth="1"/>
    <col min="5388" max="5388" width="8.625" style="3" customWidth="1"/>
    <col min="5389" max="5391" width="0" style="3" hidden="1" customWidth="1"/>
    <col min="5392" max="5392" width="12.25" style="3" customWidth="1"/>
    <col min="5393" max="5393" width="6.625" style="3" customWidth="1"/>
    <col min="5394" max="5394" width="9.625" style="3" customWidth="1"/>
    <col min="5395" max="5396" width="7.625" style="3" customWidth="1"/>
    <col min="5397" max="5397" width="6.625" style="3" customWidth="1"/>
    <col min="5398" max="5398" width="14.625" style="3" customWidth="1"/>
    <col min="5399" max="5399" width="13.625" style="3" customWidth="1"/>
    <col min="5400" max="5400" width="0" style="3" hidden="1" customWidth="1"/>
    <col min="5401" max="5401" width="16.625" style="3" customWidth="1"/>
    <col min="5402" max="5402" width="3.625" style="3" customWidth="1"/>
    <col min="5403" max="5403" width="5.625" style="3" customWidth="1"/>
    <col min="5404" max="5404" width="6.625" style="3" customWidth="1"/>
    <col min="5405" max="5632" width="9" style="3"/>
    <col min="5633" max="5633" width="3.625" style="3" customWidth="1"/>
    <col min="5634" max="5635" width="12.625" style="3" customWidth="1"/>
    <col min="5636" max="5636" width="7.625" style="3" customWidth="1"/>
    <col min="5637" max="5637" width="5.25" style="3" customWidth="1"/>
    <col min="5638" max="5638" width="8.125" style="3" customWidth="1"/>
    <col min="5639" max="5639" width="1.625" style="3" customWidth="1"/>
    <col min="5640" max="5640" width="5.625" style="3" customWidth="1"/>
    <col min="5641" max="5641" width="1.625" style="3" customWidth="1"/>
    <col min="5642" max="5642" width="5.625" style="3" customWidth="1"/>
    <col min="5643" max="5643" width="1.625" style="3" customWidth="1"/>
    <col min="5644" max="5644" width="8.625" style="3" customWidth="1"/>
    <col min="5645" max="5647" width="0" style="3" hidden="1" customWidth="1"/>
    <col min="5648" max="5648" width="12.25" style="3" customWidth="1"/>
    <col min="5649" max="5649" width="6.625" style="3" customWidth="1"/>
    <col min="5650" max="5650" width="9.625" style="3" customWidth="1"/>
    <col min="5651" max="5652" width="7.625" style="3" customWidth="1"/>
    <col min="5653" max="5653" width="6.625" style="3" customWidth="1"/>
    <col min="5654" max="5654" width="14.625" style="3" customWidth="1"/>
    <col min="5655" max="5655" width="13.625" style="3" customWidth="1"/>
    <col min="5656" max="5656" width="0" style="3" hidden="1" customWidth="1"/>
    <col min="5657" max="5657" width="16.625" style="3" customWidth="1"/>
    <col min="5658" max="5658" width="3.625" style="3" customWidth="1"/>
    <col min="5659" max="5659" width="5.625" style="3" customWidth="1"/>
    <col min="5660" max="5660" width="6.625" style="3" customWidth="1"/>
    <col min="5661" max="5888" width="9" style="3"/>
    <col min="5889" max="5889" width="3.625" style="3" customWidth="1"/>
    <col min="5890" max="5891" width="12.625" style="3" customWidth="1"/>
    <col min="5892" max="5892" width="7.625" style="3" customWidth="1"/>
    <col min="5893" max="5893" width="5.25" style="3" customWidth="1"/>
    <col min="5894" max="5894" width="8.125" style="3" customWidth="1"/>
    <col min="5895" max="5895" width="1.625" style="3" customWidth="1"/>
    <col min="5896" max="5896" width="5.625" style="3" customWidth="1"/>
    <col min="5897" max="5897" width="1.625" style="3" customWidth="1"/>
    <col min="5898" max="5898" width="5.625" style="3" customWidth="1"/>
    <col min="5899" max="5899" width="1.625" style="3" customWidth="1"/>
    <col min="5900" max="5900" width="8.625" style="3" customWidth="1"/>
    <col min="5901" max="5903" width="0" style="3" hidden="1" customWidth="1"/>
    <col min="5904" max="5904" width="12.25" style="3" customWidth="1"/>
    <col min="5905" max="5905" width="6.625" style="3" customWidth="1"/>
    <col min="5906" max="5906" width="9.625" style="3" customWidth="1"/>
    <col min="5907" max="5908" width="7.625" style="3" customWidth="1"/>
    <col min="5909" max="5909" width="6.625" style="3" customWidth="1"/>
    <col min="5910" max="5910" width="14.625" style="3" customWidth="1"/>
    <col min="5911" max="5911" width="13.625" style="3" customWidth="1"/>
    <col min="5912" max="5912" width="0" style="3" hidden="1" customWidth="1"/>
    <col min="5913" max="5913" width="16.625" style="3" customWidth="1"/>
    <col min="5914" max="5914" width="3.625" style="3" customWidth="1"/>
    <col min="5915" max="5915" width="5.625" style="3" customWidth="1"/>
    <col min="5916" max="5916" width="6.625" style="3" customWidth="1"/>
    <col min="5917" max="6144" width="9" style="3"/>
    <col min="6145" max="6145" width="3.625" style="3" customWidth="1"/>
    <col min="6146" max="6147" width="12.625" style="3" customWidth="1"/>
    <col min="6148" max="6148" width="7.625" style="3" customWidth="1"/>
    <col min="6149" max="6149" width="5.25" style="3" customWidth="1"/>
    <col min="6150" max="6150" width="8.125" style="3" customWidth="1"/>
    <col min="6151" max="6151" width="1.625" style="3" customWidth="1"/>
    <col min="6152" max="6152" width="5.625" style="3" customWidth="1"/>
    <col min="6153" max="6153" width="1.625" style="3" customWidth="1"/>
    <col min="6154" max="6154" width="5.625" style="3" customWidth="1"/>
    <col min="6155" max="6155" width="1.625" style="3" customWidth="1"/>
    <col min="6156" max="6156" width="8.625" style="3" customWidth="1"/>
    <col min="6157" max="6159" width="0" style="3" hidden="1" customWidth="1"/>
    <col min="6160" max="6160" width="12.25" style="3" customWidth="1"/>
    <col min="6161" max="6161" width="6.625" style="3" customWidth="1"/>
    <col min="6162" max="6162" width="9.625" style="3" customWidth="1"/>
    <col min="6163" max="6164" width="7.625" style="3" customWidth="1"/>
    <col min="6165" max="6165" width="6.625" style="3" customWidth="1"/>
    <col min="6166" max="6166" width="14.625" style="3" customWidth="1"/>
    <col min="6167" max="6167" width="13.625" style="3" customWidth="1"/>
    <col min="6168" max="6168" width="0" style="3" hidden="1" customWidth="1"/>
    <col min="6169" max="6169" width="16.625" style="3" customWidth="1"/>
    <col min="6170" max="6170" width="3.625" style="3" customWidth="1"/>
    <col min="6171" max="6171" width="5.625" style="3" customWidth="1"/>
    <col min="6172" max="6172" width="6.625" style="3" customWidth="1"/>
    <col min="6173" max="6400" width="9" style="3"/>
    <col min="6401" max="6401" width="3.625" style="3" customWidth="1"/>
    <col min="6402" max="6403" width="12.625" style="3" customWidth="1"/>
    <col min="6404" max="6404" width="7.625" style="3" customWidth="1"/>
    <col min="6405" max="6405" width="5.25" style="3" customWidth="1"/>
    <col min="6406" max="6406" width="8.125" style="3" customWidth="1"/>
    <col min="6407" max="6407" width="1.625" style="3" customWidth="1"/>
    <col min="6408" max="6408" width="5.625" style="3" customWidth="1"/>
    <col min="6409" max="6409" width="1.625" style="3" customWidth="1"/>
    <col min="6410" max="6410" width="5.625" style="3" customWidth="1"/>
    <col min="6411" max="6411" width="1.625" style="3" customWidth="1"/>
    <col min="6412" max="6412" width="8.625" style="3" customWidth="1"/>
    <col min="6413" max="6415" width="0" style="3" hidden="1" customWidth="1"/>
    <col min="6416" max="6416" width="12.25" style="3" customWidth="1"/>
    <col min="6417" max="6417" width="6.625" style="3" customWidth="1"/>
    <col min="6418" max="6418" width="9.625" style="3" customWidth="1"/>
    <col min="6419" max="6420" width="7.625" style="3" customWidth="1"/>
    <col min="6421" max="6421" width="6.625" style="3" customWidth="1"/>
    <col min="6422" max="6422" width="14.625" style="3" customWidth="1"/>
    <col min="6423" max="6423" width="13.625" style="3" customWidth="1"/>
    <col min="6424" max="6424" width="0" style="3" hidden="1" customWidth="1"/>
    <col min="6425" max="6425" width="16.625" style="3" customWidth="1"/>
    <col min="6426" max="6426" width="3.625" style="3" customWidth="1"/>
    <col min="6427" max="6427" width="5.625" style="3" customWidth="1"/>
    <col min="6428" max="6428" width="6.625" style="3" customWidth="1"/>
    <col min="6429" max="6656" width="9" style="3"/>
    <col min="6657" max="6657" width="3.625" style="3" customWidth="1"/>
    <col min="6658" max="6659" width="12.625" style="3" customWidth="1"/>
    <col min="6660" max="6660" width="7.625" style="3" customWidth="1"/>
    <col min="6661" max="6661" width="5.25" style="3" customWidth="1"/>
    <col min="6662" max="6662" width="8.125" style="3" customWidth="1"/>
    <col min="6663" max="6663" width="1.625" style="3" customWidth="1"/>
    <col min="6664" max="6664" width="5.625" style="3" customWidth="1"/>
    <col min="6665" max="6665" width="1.625" style="3" customWidth="1"/>
    <col min="6666" max="6666" width="5.625" style="3" customWidth="1"/>
    <col min="6667" max="6667" width="1.625" style="3" customWidth="1"/>
    <col min="6668" max="6668" width="8.625" style="3" customWidth="1"/>
    <col min="6669" max="6671" width="0" style="3" hidden="1" customWidth="1"/>
    <col min="6672" max="6672" width="12.25" style="3" customWidth="1"/>
    <col min="6673" max="6673" width="6.625" style="3" customWidth="1"/>
    <col min="6674" max="6674" width="9.625" style="3" customWidth="1"/>
    <col min="6675" max="6676" width="7.625" style="3" customWidth="1"/>
    <col min="6677" max="6677" width="6.625" style="3" customWidth="1"/>
    <col min="6678" max="6678" width="14.625" style="3" customWidth="1"/>
    <col min="6679" max="6679" width="13.625" style="3" customWidth="1"/>
    <col min="6680" max="6680" width="0" style="3" hidden="1" customWidth="1"/>
    <col min="6681" max="6681" width="16.625" style="3" customWidth="1"/>
    <col min="6682" max="6682" width="3.625" style="3" customWidth="1"/>
    <col min="6683" max="6683" width="5.625" style="3" customWidth="1"/>
    <col min="6684" max="6684" width="6.625" style="3" customWidth="1"/>
    <col min="6685" max="6912" width="9" style="3"/>
    <col min="6913" max="6913" width="3.625" style="3" customWidth="1"/>
    <col min="6914" max="6915" width="12.625" style="3" customWidth="1"/>
    <col min="6916" max="6916" width="7.625" style="3" customWidth="1"/>
    <col min="6917" max="6917" width="5.25" style="3" customWidth="1"/>
    <col min="6918" max="6918" width="8.125" style="3" customWidth="1"/>
    <col min="6919" max="6919" width="1.625" style="3" customWidth="1"/>
    <col min="6920" max="6920" width="5.625" style="3" customWidth="1"/>
    <col min="6921" max="6921" width="1.625" style="3" customWidth="1"/>
    <col min="6922" max="6922" width="5.625" style="3" customWidth="1"/>
    <col min="6923" max="6923" width="1.625" style="3" customWidth="1"/>
    <col min="6924" max="6924" width="8.625" style="3" customWidth="1"/>
    <col min="6925" max="6927" width="0" style="3" hidden="1" customWidth="1"/>
    <col min="6928" max="6928" width="12.25" style="3" customWidth="1"/>
    <col min="6929" max="6929" width="6.625" style="3" customWidth="1"/>
    <col min="6930" max="6930" width="9.625" style="3" customWidth="1"/>
    <col min="6931" max="6932" width="7.625" style="3" customWidth="1"/>
    <col min="6933" max="6933" width="6.625" style="3" customWidth="1"/>
    <col min="6934" max="6934" width="14.625" style="3" customWidth="1"/>
    <col min="6935" max="6935" width="13.625" style="3" customWidth="1"/>
    <col min="6936" max="6936" width="0" style="3" hidden="1" customWidth="1"/>
    <col min="6937" max="6937" width="16.625" style="3" customWidth="1"/>
    <col min="6938" max="6938" width="3.625" style="3" customWidth="1"/>
    <col min="6939" max="6939" width="5.625" style="3" customWidth="1"/>
    <col min="6940" max="6940" width="6.625" style="3" customWidth="1"/>
    <col min="6941" max="7168" width="9" style="3"/>
    <col min="7169" max="7169" width="3.625" style="3" customWidth="1"/>
    <col min="7170" max="7171" width="12.625" style="3" customWidth="1"/>
    <col min="7172" max="7172" width="7.625" style="3" customWidth="1"/>
    <col min="7173" max="7173" width="5.25" style="3" customWidth="1"/>
    <col min="7174" max="7174" width="8.125" style="3" customWidth="1"/>
    <col min="7175" max="7175" width="1.625" style="3" customWidth="1"/>
    <col min="7176" max="7176" width="5.625" style="3" customWidth="1"/>
    <col min="7177" max="7177" width="1.625" style="3" customWidth="1"/>
    <col min="7178" max="7178" width="5.625" style="3" customWidth="1"/>
    <col min="7179" max="7179" width="1.625" style="3" customWidth="1"/>
    <col min="7180" max="7180" width="8.625" style="3" customWidth="1"/>
    <col min="7181" max="7183" width="0" style="3" hidden="1" customWidth="1"/>
    <col min="7184" max="7184" width="12.25" style="3" customWidth="1"/>
    <col min="7185" max="7185" width="6.625" style="3" customWidth="1"/>
    <col min="7186" max="7186" width="9.625" style="3" customWidth="1"/>
    <col min="7187" max="7188" width="7.625" style="3" customWidth="1"/>
    <col min="7189" max="7189" width="6.625" style="3" customWidth="1"/>
    <col min="7190" max="7190" width="14.625" style="3" customWidth="1"/>
    <col min="7191" max="7191" width="13.625" style="3" customWidth="1"/>
    <col min="7192" max="7192" width="0" style="3" hidden="1" customWidth="1"/>
    <col min="7193" max="7193" width="16.625" style="3" customWidth="1"/>
    <col min="7194" max="7194" width="3.625" style="3" customWidth="1"/>
    <col min="7195" max="7195" width="5.625" style="3" customWidth="1"/>
    <col min="7196" max="7196" width="6.625" style="3" customWidth="1"/>
    <col min="7197" max="7424" width="9" style="3"/>
    <col min="7425" max="7425" width="3.625" style="3" customWidth="1"/>
    <col min="7426" max="7427" width="12.625" style="3" customWidth="1"/>
    <col min="7428" max="7428" width="7.625" style="3" customWidth="1"/>
    <col min="7429" max="7429" width="5.25" style="3" customWidth="1"/>
    <col min="7430" max="7430" width="8.125" style="3" customWidth="1"/>
    <col min="7431" max="7431" width="1.625" style="3" customWidth="1"/>
    <col min="7432" max="7432" width="5.625" style="3" customWidth="1"/>
    <col min="7433" max="7433" width="1.625" style="3" customWidth="1"/>
    <col min="7434" max="7434" width="5.625" style="3" customWidth="1"/>
    <col min="7435" max="7435" width="1.625" style="3" customWidth="1"/>
    <col min="7436" max="7436" width="8.625" style="3" customWidth="1"/>
    <col min="7437" max="7439" width="0" style="3" hidden="1" customWidth="1"/>
    <col min="7440" max="7440" width="12.25" style="3" customWidth="1"/>
    <col min="7441" max="7441" width="6.625" style="3" customWidth="1"/>
    <col min="7442" max="7442" width="9.625" style="3" customWidth="1"/>
    <col min="7443" max="7444" width="7.625" style="3" customWidth="1"/>
    <col min="7445" max="7445" width="6.625" style="3" customWidth="1"/>
    <col min="7446" max="7446" width="14.625" style="3" customWidth="1"/>
    <col min="7447" max="7447" width="13.625" style="3" customWidth="1"/>
    <col min="7448" max="7448" width="0" style="3" hidden="1" customWidth="1"/>
    <col min="7449" max="7449" width="16.625" style="3" customWidth="1"/>
    <col min="7450" max="7450" width="3.625" style="3" customWidth="1"/>
    <col min="7451" max="7451" width="5.625" style="3" customWidth="1"/>
    <col min="7452" max="7452" width="6.625" style="3" customWidth="1"/>
    <col min="7453" max="7680" width="9" style="3"/>
    <col min="7681" max="7681" width="3.625" style="3" customWidth="1"/>
    <col min="7682" max="7683" width="12.625" style="3" customWidth="1"/>
    <col min="7684" max="7684" width="7.625" style="3" customWidth="1"/>
    <col min="7685" max="7685" width="5.25" style="3" customWidth="1"/>
    <col min="7686" max="7686" width="8.125" style="3" customWidth="1"/>
    <col min="7687" max="7687" width="1.625" style="3" customWidth="1"/>
    <col min="7688" max="7688" width="5.625" style="3" customWidth="1"/>
    <col min="7689" max="7689" width="1.625" style="3" customWidth="1"/>
    <col min="7690" max="7690" width="5.625" style="3" customWidth="1"/>
    <col min="7691" max="7691" width="1.625" style="3" customWidth="1"/>
    <col min="7692" max="7692" width="8.625" style="3" customWidth="1"/>
    <col min="7693" max="7695" width="0" style="3" hidden="1" customWidth="1"/>
    <col min="7696" max="7696" width="12.25" style="3" customWidth="1"/>
    <col min="7697" max="7697" width="6.625" style="3" customWidth="1"/>
    <col min="7698" max="7698" width="9.625" style="3" customWidth="1"/>
    <col min="7699" max="7700" width="7.625" style="3" customWidth="1"/>
    <col min="7701" max="7701" width="6.625" style="3" customWidth="1"/>
    <col min="7702" max="7702" width="14.625" style="3" customWidth="1"/>
    <col min="7703" max="7703" width="13.625" style="3" customWidth="1"/>
    <col min="7704" max="7704" width="0" style="3" hidden="1" customWidth="1"/>
    <col min="7705" max="7705" width="16.625" style="3" customWidth="1"/>
    <col min="7706" max="7706" width="3.625" style="3" customWidth="1"/>
    <col min="7707" max="7707" width="5.625" style="3" customWidth="1"/>
    <col min="7708" max="7708" width="6.625" style="3" customWidth="1"/>
    <col min="7709" max="7936" width="9" style="3"/>
    <col min="7937" max="7937" width="3.625" style="3" customWidth="1"/>
    <col min="7938" max="7939" width="12.625" style="3" customWidth="1"/>
    <col min="7940" max="7940" width="7.625" style="3" customWidth="1"/>
    <col min="7941" max="7941" width="5.25" style="3" customWidth="1"/>
    <col min="7942" max="7942" width="8.125" style="3" customWidth="1"/>
    <col min="7943" max="7943" width="1.625" style="3" customWidth="1"/>
    <col min="7944" max="7944" width="5.625" style="3" customWidth="1"/>
    <col min="7945" max="7945" width="1.625" style="3" customWidth="1"/>
    <col min="7946" max="7946" width="5.625" style="3" customWidth="1"/>
    <col min="7947" max="7947" width="1.625" style="3" customWidth="1"/>
    <col min="7948" max="7948" width="8.625" style="3" customWidth="1"/>
    <col min="7949" max="7951" width="0" style="3" hidden="1" customWidth="1"/>
    <col min="7952" max="7952" width="12.25" style="3" customWidth="1"/>
    <col min="7953" max="7953" width="6.625" style="3" customWidth="1"/>
    <col min="7954" max="7954" width="9.625" style="3" customWidth="1"/>
    <col min="7955" max="7956" width="7.625" style="3" customWidth="1"/>
    <col min="7957" max="7957" width="6.625" style="3" customWidth="1"/>
    <col min="7958" max="7958" width="14.625" style="3" customWidth="1"/>
    <col min="7959" max="7959" width="13.625" style="3" customWidth="1"/>
    <col min="7960" max="7960" width="0" style="3" hidden="1" customWidth="1"/>
    <col min="7961" max="7961" width="16.625" style="3" customWidth="1"/>
    <col min="7962" max="7962" width="3.625" style="3" customWidth="1"/>
    <col min="7963" max="7963" width="5.625" style="3" customWidth="1"/>
    <col min="7964" max="7964" width="6.625" style="3" customWidth="1"/>
    <col min="7965" max="8192" width="9" style="3"/>
    <col min="8193" max="8193" width="3.625" style="3" customWidth="1"/>
    <col min="8194" max="8195" width="12.625" style="3" customWidth="1"/>
    <col min="8196" max="8196" width="7.625" style="3" customWidth="1"/>
    <col min="8197" max="8197" width="5.25" style="3" customWidth="1"/>
    <col min="8198" max="8198" width="8.125" style="3" customWidth="1"/>
    <col min="8199" max="8199" width="1.625" style="3" customWidth="1"/>
    <col min="8200" max="8200" width="5.625" style="3" customWidth="1"/>
    <col min="8201" max="8201" width="1.625" style="3" customWidth="1"/>
    <col min="8202" max="8202" width="5.625" style="3" customWidth="1"/>
    <col min="8203" max="8203" width="1.625" style="3" customWidth="1"/>
    <col min="8204" max="8204" width="8.625" style="3" customWidth="1"/>
    <col min="8205" max="8207" width="0" style="3" hidden="1" customWidth="1"/>
    <col min="8208" max="8208" width="12.25" style="3" customWidth="1"/>
    <col min="8209" max="8209" width="6.625" style="3" customWidth="1"/>
    <col min="8210" max="8210" width="9.625" style="3" customWidth="1"/>
    <col min="8211" max="8212" width="7.625" style="3" customWidth="1"/>
    <col min="8213" max="8213" width="6.625" style="3" customWidth="1"/>
    <col min="8214" max="8214" width="14.625" style="3" customWidth="1"/>
    <col min="8215" max="8215" width="13.625" style="3" customWidth="1"/>
    <col min="8216" max="8216" width="0" style="3" hidden="1" customWidth="1"/>
    <col min="8217" max="8217" width="16.625" style="3" customWidth="1"/>
    <col min="8218" max="8218" width="3.625" style="3" customWidth="1"/>
    <col min="8219" max="8219" width="5.625" style="3" customWidth="1"/>
    <col min="8220" max="8220" width="6.625" style="3" customWidth="1"/>
    <col min="8221" max="8448" width="9" style="3"/>
    <col min="8449" max="8449" width="3.625" style="3" customWidth="1"/>
    <col min="8450" max="8451" width="12.625" style="3" customWidth="1"/>
    <col min="8452" max="8452" width="7.625" style="3" customWidth="1"/>
    <col min="8453" max="8453" width="5.25" style="3" customWidth="1"/>
    <col min="8454" max="8454" width="8.125" style="3" customWidth="1"/>
    <col min="8455" max="8455" width="1.625" style="3" customWidth="1"/>
    <col min="8456" max="8456" width="5.625" style="3" customWidth="1"/>
    <col min="8457" max="8457" width="1.625" style="3" customWidth="1"/>
    <col min="8458" max="8458" width="5.625" style="3" customWidth="1"/>
    <col min="8459" max="8459" width="1.625" style="3" customWidth="1"/>
    <col min="8460" max="8460" width="8.625" style="3" customWidth="1"/>
    <col min="8461" max="8463" width="0" style="3" hidden="1" customWidth="1"/>
    <col min="8464" max="8464" width="12.25" style="3" customWidth="1"/>
    <col min="8465" max="8465" width="6.625" style="3" customWidth="1"/>
    <col min="8466" max="8466" width="9.625" style="3" customWidth="1"/>
    <col min="8467" max="8468" width="7.625" style="3" customWidth="1"/>
    <col min="8469" max="8469" width="6.625" style="3" customWidth="1"/>
    <col min="8470" max="8470" width="14.625" style="3" customWidth="1"/>
    <col min="8471" max="8471" width="13.625" style="3" customWidth="1"/>
    <col min="8472" max="8472" width="0" style="3" hidden="1" customWidth="1"/>
    <col min="8473" max="8473" width="16.625" style="3" customWidth="1"/>
    <col min="8474" max="8474" width="3.625" style="3" customWidth="1"/>
    <col min="8475" max="8475" width="5.625" style="3" customWidth="1"/>
    <col min="8476" max="8476" width="6.625" style="3" customWidth="1"/>
    <col min="8477" max="8704" width="9" style="3"/>
    <col min="8705" max="8705" width="3.625" style="3" customWidth="1"/>
    <col min="8706" max="8707" width="12.625" style="3" customWidth="1"/>
    <col min="8708" max="8708" width="7.625" style="3" customWidth="1"/>
    <col min="8709" max="8709" width="5.25" style="3" customWidth="1"/>
    <col min="8710" max="8710" width="8.125" style="3" customWidth="1"/>
    <col min="8711" max="8711" width="1.625" style="3" customWidth="1"/>
    <col min="8712" max="8712" width="5.625" style="3" customWidth="1"/>
    <col min="8713" max="8713" width="1.625" style="3" customWidth="1"/>
    <col min="8714" max="8714" width="5.625" style="3" customWidth="1"/>
    <col min="8715" max="8715" width="1.625" style="3" customWidth="1"/>
    <col min="8716" max="8716" width="8.625" style="3" customWidth="1"/>
    <col min="8717" max="8719" width="0" style="3" hidden="1" customWidth="1"/>
    <col min="8720" max="8720" width="12.25" style="3" customWidth="1"/>
    <col min="8721" max="8721" width="6.625" style="3" customWidth="1"/>
    <col min="8722" max="8722" width="9.625" style="3" customWidth="1"/>
    <col min="8723" max="8724" width="7.625" style="3" customWidth="1"/>
    <col min="8725" max="8725" width="6.625" style="3" customWidth="1"/>
    <col min="8726" max="8726" width="14.625" style="3" customWidth="1"/>
    <col min="8727" max="8727" width="13.625" style="3" customWidth="1"/>
    <col min="8728" max="8728" width="0" style="3" hidden="1" customWidth="1"/>
    <col min="8729" max="8729" width="16.625" style="3" customWidth="1"/>
    <col min="8730" max="8730" width="3.625" style="3" customWidth="1"/>
    <col min="8731" max="8731" width="5.625" style="3" customWidth="1"/>
    <col min="8732" max="8732" width="6.625" style="3" customWidth="1"/>
    <col min="8733" max="8960" width="9" style="3"/>
    <col min="8961" max="8961" width="3.625" style="3" customWidth="1"/>
    <col min="8962" max="8963" width="12.625" style="3" customWidth="1"/>
    <col min="8964" max="8964" width="7.625" style="3" customWidth="1"/>
    <col min="8965" max="8965" width="5.25" style="3" customWidth="1"/>
    <col min="8966" max="8966" width="8.125" style="3" customWidth="1"/>
    <col min="8967" max="8967" width="1.625" style="3" customWidth="1"/>
    <col min="8968" max="8968" width="5.625" style="3" customWidth="1"/>
    <col min="8969" max="8969" width="1.625" style="3" customWidth="1"/>
    <col min="8970" max="8970" width="5.625" style="3" customWidth="1"/>
    <col min="8971" max="8971" width="1.625" style="3" customWidth="1"/>
    <col min="8972" max="8972" width="8.625" style="3" customWidth="1"/>
    <col min="8973" max="8975" width="0" style="3" hidden="1" customWidth="1"/>
    <col min="8976" max="8976" width="12.25" style="3" customWidth="1"/>
    <col min="8977" max="8977" width="6.625" style="3" customWidth="1"/>
    <col min="8978" max="8978" width="9.625" style="3" customWidth="1"/>
    <col min="8979" max="8980" width="7.625" style="3" customWidth="1"/>
    <col min="8981" max="8981" width="6.625" style="3" customWidth="1"/>
    <col min="8982" max="8982" width="14.625" style="3" customWidth="1"/>
    <col min="8983" max="8983" width="13.625" style="3" customWidth="1"/>
    <col min="8984" max="8984" width="0" style="3" hidden="1" customWidth="1"/>
    <col min="8985" max="8985" width="16.625" style="3" customWidth="1"/>
    <col min="8986" max="8986" width="3.625" style="3" customWidth="1"/>
    <col min="8987" max="8987" width="5.625" style="3" customWidth="1"/>
    <col min="8988" max="8988" width="6.625" style="3" customWidth="1"/>
    <col min="8989" max="9216" width="9" style="3"/>
    <col min="9217" max="9217" width="3.625" style="3" customWidth="1"/>
    <col min="9218" max="9219" width="12.625" style="3" customWidth="1"/>
    <col min="9220" max="9220" width="7.625" style="3" customWidth="1"/>
    <col min="9221" max="9221" width="5.25" style="3" customWidth="1"/>
    <col min="9222" max="9222" width="8.125" style="3" customWidth="1"/>
    <col min="9223" max="9223" width="1.625" style="3" customWidth="1"/>
    <col min="9224" max="9224" width="5.625" style="3" customWidth="1"/>
    <col min="9225" max="9225" width="1.625" style="3" customWidth="1"/>
    <col min="9226" max="9226" width="5.625" style="3" customWidth="1"/>
    <col min="9227" max="9227" width="1.625" style="3" customWidth="1"/>
    <col min="9228" max="9228" width="8.625" style="3" customWidth="1"/>
    <col min="9229" max="9231" width="0" style="3" hidden="1" customWidth="1"/>
    <col min="9232" max="9232" width="12.25" style="3" customWidth="1"/>
    <col min="9233" max="9233" width="6.625" style="3" customWidth="1"/>
    <col min="9234" max="9234" width="9.625" style="3" customWidth="1"/>
    <col min="9235" max="9236" width="7.625" style="3" customWidth="1"/>
    <col min="9237" max="9237" width="6.625" style="3" customWidth="1"/>
    <col min="9238" max="9238" width="14.625" style="3" customWidth="1"/>
    <col min="9239" max="9239" width="13.625" style="3" customWidth="1"/>
    <col min="9240" max="9240" width="0" style="3" hidden="1" customWidth="1"/>
    <col min="9241" max="9241" width="16.625" style="3" customWidth="1"/>
    <col min="9242" max="9242" width="3.625" style="3" customWidth="1"/>
    <col min="9243" max="9243" width="5.625" style="3" customWidth="1"/>
    <col min="9244" max="9244" width="6.625" style="3" customWidth="1"/>
    <col min="9245" max="9472" width="9" style="3"/>
    <col min="9473" max="9473" width="3.625" style="3" customWidth="1"/>
    <col min="9474" max="9475" width="12.625" style="3" customWidth="1"/>
    <col min="9476" max="9476" width="7.625" style="3" customWidth="1"/>
    <col min="9477" max="9477" width="5.25" style="3" customWidth="1"/>
    <col min="9478" max="9478" width="8.125" style="3" customWidth="1"/>
    <col min="9479" max="9479" width="1.625" style="3" customWidth="1"/>
    <col min="9480" max="9480" width="5.625" style="3" customWidth="1"/>
    <col min="9481" max="9481" width="1.625" style="3" customWidth="1"/>
    <col min="9482" max="9482" width="5.625" style="3" customWidth="1"/>
    <col min="9483" max="9483" width="1.625" style="3" customWidth="1"/>
    <col min="9484" max="9484" width="8.625" style="3" customWidth="1"/>
    <col min="9485" max="9487" width="0" style="3" hidden="1" customWidth="1"/>
    <col min="9488" max="9488" width="12.25" style="3" customWidth="1"/>
    <col min="9489" max="9489" width="6.625" style="3" customWidth="1"/>
    <col min="9490" max="9490" width="9.625" style="3" customWidth="1"/>
    <col min="9491" max="9492" width="7.625" style="3" customWidth="1"/>
    <col min="9493" max="9493" width="6.625" style="3" customWidth="1"/>
    <col min="9494" max="9494" width="14.625" style="3" customWidth="1"/>
    <col min="9495" max="9495" width="13.625" style="3" customWidth="1"/>
    <col min="9496" max="9496" width="0" style="3" hidden="1" customWidth="1"/>
    <col min="9497" max="9497" width="16.625" style="3" customWidth="1"/>
    <col min="9498" max="9498" width="3.625" style="3" customWidth="1"/>
    <col min="9499" max="9499" width="5.625" style="3" customWidth="1"/>
    <col min="9500" max="9500" width="6.625" style="3" customWidth="1"/>
    <col min="9501" max="9728" width="9" style="3"/>
    <col min="9729" max="9729" width="3.625" style="3" customWidth="1"/>
    <col min="9730" max="9731" width="12.625" style="3" customWidth="1"/>
    <col min="9732" max="9732" width="7.625" style="3" customWidth="1"/>
    <col min="9733" max="9733" width="5.25" style="3" customWidth="1"/>
    <col min="9734" max="9734" width="8.125" style="3" customWidth="1"/>
    <col min="9735" max="9735" width="1.625" style="3" customWidth="1"/>
    <col min="9736" max="9736" width="5.625" style="3" customWidth="1"/>
    <col min="9737" max="9737" width="1.625" style="3" customWidth="1"/>
    <col min="9738" max="9738" width="5.625" style="3" customWidth="1"/>
    <col min="9739" max="9739" width="1.625" style="3" customWidth="1"/>
    <col min="9740" max="9740" width="8.625" style="3" customWidth="1"/>
    <col min="9741" max="9743" width="0" style="3" hidden="1" customWidth="1"/>
    <col min="9744" max="9744" width="12.25" style="3" customWidth="1"/>
    <col min="9745" max="9745" width="6.625" style="3" customWidth="1"/>
    <col min="9746" max="9746" width="9.625" style="3" customWidth="1"/>
    <col min="9747" max="9748" width="7.625" style="3" customWidth="1"/>
    <col min="9749" max="9749" width="6.625" style="3" customWidth="1"/>
    <col min="9750" max="9750" width="14.625" style="3" customWidth="1"/>
    <col min="9751" max="9751" width="13.625" style="3" customWidth="1"/>
    <col min="9752" max="9752" width="0" style="3" hidden="1" customWidth="1"/>
    <col min="9753" max="9753" width="16.625" style="3" customWidth="1"/>
    <col min="9754" max="9754" width="3.625" style="3" customWidth="1"/>
    <col min="9755" max="9755" width="5.625" style="3" customWidth="1"/>
    <col min="9756" max="9756" width="6.625" style="3" customWidth="1"/>
    <col min="9757" max="9984" width="9" style="3"/>
    <col min="9985" max="9985" width="3.625" style="3" customWidth="1"/>
    <col min="9986" max="9987" width="12.625" style="3" customWidth="1"/>
    <col min="9988" max="9988" width="7.625" style="3" customWidth="1"/>
    <col min="9989" max="9989" width="5.25" style="3" customWidth="1"/>
    <col min="9990" max="9990" width="8.125" style="3" customWidth="1"/>
    <col min="9991" max="9991" width="1.625" style="3" customWidth="1"/>
    <col min="9992" max="9992" width="5.625" style="3" customWidth="1"/>
    <col min="9993" max="9993" width="1.625" style="3" customWidth="1"/>
    <col min="9994" max="9994" width="5.625" style="3" customWidth="1"/>
    <col min="9995" max="9995" width="1.625" style="3" customWidth="1"/>
    <col min="9996" max="9996" width="8.625" style="3" customWidth="1"/>
    <col min="9997" max="9999" width="0" style="3" hidden="1" customWidth="1"/>
    <col min="10000" max="10000" width="12.25" style="3" customWidth="1"/>
    <col min="10001" max="10001" width="6.625" style="3" customWidth="1"/>
    <col min="10002" max="10002" width="9.625" style="3" customWidth="1"/>
    <col min="10003" max="10004" width="7.625" style="3" customWidth="1"/>
    <col min="10005" max="10005" width="6.625" style="3" customWidth="1"/>
    <col min="10006" max="10006" width="14.625" style="3" customWidth="1"/>
    <col min="10007" max="10007" width="13.625" style="3" customWidth="1"/>
    <col min="10008" max="10008" width="0" style="3" hidden="1" customWidth="1"/>
    <col min="10009" max="10009" width="16.625" style="3" customWidth="1"/>
    <col min="10010" max="10010" width="3.625" style="3" customWidth="1"/>
    <col min="10011" max="10011" width="5.625" style="3" customWidth="1"/>
    <col min="10012" max="10012" width="6.625" style="3" customWidth="1"/>
    <col min="10013" max="10240" width="9" style="3"/>
    <col min="10241" max="10241" width="3.625" style="3" customWidth="1"/>
    <col min="10242" max="10243" width="12.625" style="3" customWidth="1"/>
    <col min="10244" max="10244" width="7.625" style="3" customWidth="1"/>
    <col min="10245" max="10245" width="5.25" style="3" customWidth="1"/>
    <col min="10246" max="10246" width="8.125" style="3" customWidth="1"/>
    <col min="10247" max="10247" width="1.625" style="3" customWidth="1"/>
    <col min="10248" max="10248" width="5.625" style="3" customWidth="1"/>
    <col min="10249" max="10249" width="1.625" style="3" customWidth="1"/>
    <col min="10250" max="10250" width="5.625" style="3" customWidth="1"/>
    <col min="10251" max="10251" width="1.625" style="3" customWidth="1"/>
    <col min="10252" max="10252" width="8.625" style="3" customWidth="1"/>
    <col min="10253" max="10255" width="0" style="3" hidden="1" customWidth="1"/>
    <col min="10256" max="10256" width="12.25" style="3" customWidth="1"/>
    <col min="10257" max="10257" width="6.625" style="3" customWidth="1"/>
    <col min="10258" max="10258" width="9.625" style="3" customWidth="1"/>
    <col min="10259" max="10260" width="7.625" style="3" customWidth="1"/>
    <col min="10261" max="10261" width="6.625" style="3" customWidth="1"/>
    <col min="10262" max="10262" width="14.625" style="3" customWidth="1"/>
    <col min="10263" max="10263" width="13.625" style="3" customWidth="1"/>
    <col min="10264" max="10264" width="0" style="3" hidden="1" customWidth="1"/>
    <col min="10265" max="10265" width="16.625" style="3" customWidth="1"/>
    <col min="10266" max="10266" width="3.625" style="3" customWidth="1"/>
    <col min="10267" max="10267" width="5.625" style="3" customWidth="1"/>
    <col min="10268" max="10268" width="6.625" style="3" customWidth="1"/>
    <col min="10269" max="10496" width="9" style="3"/>
    <col min="10497" max="10497" width="3.625" style="3" customWidth="1"/>
    <col min="10498" max="10499" width="12.625" style="3" customWidth="1"/>
    <col min="10500" max="10500" width="7.625" style="3" customWidth="1"/>
    <col min="10501" max="10501" width="5.25" style="3" customWidth="1"/>
    <col min="10502" max="10502" width="8.125" style="3" customWidth="1"/>
    <col min="10503" max="10503" width="1.625" style="3" customWidth="1"/>
    <col min="10504" max="10504" width="5.625" style="3" customWidth="1"/>
    <col min="10505" max="10505" width="1.625" style="3" customWidth="1"/>
    <col min="10506" max="10506" width="5.625" style="3" customWidth="1"/>
    <col min="10507" max="10507" width="1.625" style="3" customWidth="1"/>
    <col min="10508" max="10508" width="8.625" style="3" customWidth="1"/>
    <col min="10509" max="10511" width="0" style="3" hidden="1" customWidth="1"/>
    <col min="10512" max="10512" width="12.25" style="3" customWidth="1"/>
    <col min="10513" max="10513" width="6.625" style="3" customWidth="1"/>
    <col min="10514" max="10514" width="9.625" style="3" customWidth="1"/>
    <col min="10515" max="10516" width="7.625" style="3" customWidth="1"/>
    <col min="10517" max="10517" width="6.625" style="3" customWidth="1"/>
    <col min="10518" max="10518" width="14.625" style="3" customWidth="1"/>
    <col min="10519" max="10519" width="13.625" style="3" customWidth="1"/>
    <col min="10520" max="10520" width="0" style="3" hidden="1" customWidth="1"/>
    <col min="10521" max="10521" width="16.625" style="3" customWidth="1"/>
    <col min="10522" max="10522" width="3.625" style="3" customWidth="1"/>
    <col min="10523" max="10523" width="5.625" style="3" customWidth="1"/>
    <col min="10524" max="10524" width="6.625" style="3" customWidth="1"/>
    <col min="10525" max="10752" width="9" style="3"/>
    <col min="10753" max="10753" width="3.625" style="3" customWidth="1"/>
    <col min="10754" max="10755" width="12.625" style="3" customWidth="1"/>
    <col min="10756" max="10756" width="7.625" style="3" customWidth="1"/>
    <col min="10757" max="10757" width="5.25" style="3" customWidth="1"/>
    <col min="10758" max="10758" width="8.125" style="3" customWidth="1"/>
    <col min="10759" max="10759" width="1.625" style="3" customWidth="1"/>
    <col min="10760" max="10760" width="5.625" style="3" customWidth="1"/>
    <col min="10761" max="10761" width="1.625" style="3" customWidth="1"/>
    <col min="10762" max="10762" width="5.625" style="3" customWidth="1"/>
    <col min="10763" max="10763" width="1.625" style="3" customWidth="1"/>
    <col min="10764" max="10764" width="8.625" style="3" customWidth="1"/>
    <col min="10765" max="10767" width="0" style="3" hidden="1" customWidth="1"/>
    <col min="10768" max="10768" width="12.25" style="3" customWidth="1"/>
    <col min="10769" max="10769" width="6.625" style="3" customWidth="1"/>
    <col min="10770" max="10770" width="9.625" style="3" customWidth="1"/>
    <col min="10771" max="10772" width="7.625" style="3" customWidth="1"/>
    <col min="10773" max="10773" width="6.625" style="3" customWidth="1"/>
    <col min="10774" max="10774" width="14.625" style="3" customWidth="1"/>
    <col min="10775" max="10775" width="13.625" style="3" customWidth="1"/>
    <col min="10776" max="10776" width="0" style="3" hidden="1" customWidth="1"/>
    <col min="10777" max="10777" width="16.625" style="3" customWidth="1"/>
    <col min="10778" max="10778" width="3.625" style="3" customWidth="1"/>
    <col min="10779" max="10779" width="5.625" style="3" customWidth="1"/>
    <col min="10780" max="10780" width="6.625" style="3" customWidth="1"/>
    <col min="10781" max="11008" width="9" style="3"/>
    <col min="11009" max="11009" width="3.625" style="3" customWidth="1"/>
    <col min="11010" max="11011" width="12.625" style="3" customWidth="1"/>
    <col min="11012" max="11012" width="7.625" style="3" customWidth="1"/>
    <col min="11013" max="11013" width="5.25" style="3" customWidth="1"/>
    <col min="11014" max="11014" width="8.125" style="3" customWidth="1"/>
    <col min="11015" max="11015" width="1.625" style="3" customWidth="1"/>
    <col min="11016" max="11016" width="5.625" style="3" customWidth="1"/>
    <col min="11017" max="11017" width="1.625" style="3" customWidth="1"/>
    <col min="11018" max="11018" width="5.625" style="3" customWidth="1"/>
    <col min="11019" max="11019" width="1.625" style="3" customWidth="1"/>
    <col min="11020" max="11020" width="8.625" style="3" customWidth="1"/>
    <col min="11021" max="11023" width="0" style="3" hidden="1" customWidth="1"/>
    <col min="11024" max="11024" width="12.25" style="3" customWidth="1"/>
    <col min="11025" max="11025" width="6.625" style="3" customWidth="1"/>
    <col min="11026" max="11026" width="9.625" style="3" customWidth="1"/>
    <col min="11027" max="11028" width="7.625" style="3" customWidth="1"/>
    <col min="11029" max="11029" width="6.625" style="3" customWidth="1"/>
    <col min="11030" max="11030" width="14.625" style="3" customWidth="1"/>
    <col min="11031" max="11031" width="13.625" style="3" customWidth="1"/>
    <col min="11032" max="11032" width="0" style="3" hidden="1" customWidth="1"/>
    <col min="11033" max="11033" width="16.625" style="3" customWidth="1"/>
    <col min="11034" max="11034" width="3.625" style="3" customWidth="1"/>
    <col min="11035" max="11035" width="5.625" style="3" customWidth="1"/>
    <col min="11036" max="11036" width="6.625" style="3" customWidth="1"/>
    <col min="11037" max="11264" width="9" style="3"/>
    <col min="11265" max="11265" width="3.625" style="3" customWidth="1"/>
    <col min="11266" max="11267" width="12.625" style="3" customWidth="1"/>
    <col min="11268" max="11268" width="7.625" style="3" customWidth="1"/>
    <col min="11269" max="11269" width="5.25" style="3" customWidth="1"/>
    <col min="11270" max="11270" width="8.125" style="3" customWidth="1"/>
    <col min="11271" max="11271" width="1.625" style="3" customWidth="1"/>
    <col min="11272" max="11272" width="5.625" style="3" customWidth="1"/>
    <col min="11273" max="11273" width="1.625" style="3" customWidth="1"/>
    <col min="11274" max="11274" width="5.625" style="3" customWidth="1"/>
    <col min="11275" max="11275" width="1.625" style="3" customWidth="1"/>
    <col min="11276" max="11276" width="8.625" style="3" customWidth="1"/>
    <col min="11277" max="11279" width="0" style="3" hidden="1" customWidth="1"/>
    <col min="11280" max="11280" width="12.25" style="3" customWidth="1"/>
    <col min="11281" max="11281" width="6.625" style="3" customWidth="1"/>
    <col min="11282" max="11282" width="9.625" style="3" customWidth="1"/>
    <col min="11283" max="11284" width="7.625" style="3" customWidth="1"/>
    <col min="11285" max="11285" width="6.625" style="3" customWidth="1"/>
    <col min="11286" max="11286" width="14.625" style="3" customWidth="1"/>
    <col min="11287" max="11287" width="13.625" style="3" customWidth="1"/>
    <col min="11288" max="11288" width="0" style="3" hidden="1" customWidth="1"/>
    <col min="11289" max="11289" width="16.625" style="3" customWidth="1"/>
    <col min="11290" max="11290" width="3.625" style="3" customWidth="1"/>
    <col min="11291" max="11291" width="5.625" style="3" customWidth="1"/>
    <col min="11292" max="11292" width="6.625" style="3" customWidth="1"/>
    <col min="11293" max="11520" width="9" style="3"/>
    <col min="11521" max="11521" width="3.625" style="3" customWidth="1"/>
    <col min="11522" max="11523" width="12.625" style="3" customWidth="1"/>
    <col min="11524" max="11524" width="7.625" style="3" customWidth="1"/>
    <col min="11525" max="11525" width="5.25" style="3" customWidth="1"/>
    <col min="11526" max="11526" width="8.125" style="3" customWidth="1"/>
    <col min="11527" max="11527" width="1.625" style="3" customWidth="1"/>
    <col min="11528" max="11528" width="5.625" style="3" customWidth="1"/>
    <col min="11529" max="11529" width="1.625" style="3" customWidth="1"/>
    <col min="11530" max="11530" width="5.625" style="3" customWidth="1"/>
    <col min="11531" max="11531" width="1.625" style="3" customWidth="1"/>
    <col min="11532" max="11532" width="8.625" style="3" customWidth="1"/>
    <col min="11533" max="11535" width="0" style="3" hidden="1" customWidth="1"/>
    <col min="11536" max="11536" width="12.25" style="3" customWidth="1"/>
    <col min="11537" max="11537" width="6.625" style="3" customWidth="1"/>
    <col min="11538" max="11538" width="9.625" style="3" customWidth="1"/>
    <col min="11539" max="11540" width="7.625" style="3" customWidth="1"/>
    <col min="11541" max="11541" width="6.625" style="3" customWidth="1"/>
    <col min="11542" max="11542" width="14.625" style="3" customWidth="1"/>
    <col min="11543" max="11543" width="13.625" style="3" customWidth="1"/>
    <col min="11544" max="11544" width="0" style="3" hidden="1" customWidth="1"/>
    <col min="11545" max="11545" width="16.625" style="3" customWidth="1"/>
    <col min="11546" max="11546" width="3.625" style="3" customWidth="1"/>
    <col min="11547" max="11547" width="5.625" style="3" customWidth="1"/>
    <col min="11548" max="11548" width="6.625" style="3" customWidth="1"/>
    <col min="11549" max="11776" width="9" style="3"/>
    <col min="11777" max="11777" width="3.625" style="3" customWidth="1"/>
    <col min="11778" max="11779" width="12.625" style="3" customWidth="1"/>
    <col min="11780" max="11780" width="7.625" style="3" customWidth="1"/>
    <col min="11781" max="11781" width="5.25" style="3" customWidth="1"/>
    <col min="11782" max="11782" width="8.125" style="3" customWidth="1"/>
    <col min="11783" max="11783" width="1.625" style="3" customWidth="1"/>
    <col min="11784" max="11784" width="5.625" style="3" customWidth="1"/>
    <col min="11785" max="11785" width="1.625" style="3" customWidth="1"/>
    <col min="11786" max="11786" width="5.625" style="3" customWidth="1"/>
    <col min="11787" max="11787" width="1.625" style="3" customWidth="1"/>
    <col min="11788" max="11788" width="8.625" style="3" customWidth="1"/>
    <col min="11789" max="11791" width="0" style="3" hidden="1" customWidth="1"/>
    <col min="11792" max="11792" width="12.25" style="3" customWidth="1"/>
    <col min="11793" max="11793" width="6.625" style="3" customWidth="1"/>
    <col min="11794" max="11794" width="9.625" style="3" customWidth="1"/>
    <col min="11795" max="11796" width="7.625" style="3" customWidth="1"/>
    <col min="11797" max="11797" width="6.625" style="3" customWidth="1"/>
    <col min="11798" max="11798" width="14.625" style="3" customWidth="1"/>
    <col min="11799" max="11799" width="13.625" style="3" customWidth="1"/>
    <col min="11800" max="11800" width="0" style="3" hidden="1" customWidth="1"/>
    <col min="11801" max="11801" width="16.625" style="3" customWidth="1"/>
    <col min="11802" max="11802" width="3.625" style="3" customWidth="1"/>
    <col min="11803" max="11803" width="5.625" style="3" customWidth="1"/>
    <col min="11804" max="11804" width="6.625" style="3" customWidth="1"/>
    <col min="11805" max="12032" width="9" style="3"/>
    <col min="12033" max="12033" width="3.625" style="3" customWidth="1"/>
    <col min="12034" max="12035" width="12.625" style="3" customWidth="1"/>
    <col min="12036" max="12036" width="7.625" style="3" customWidth="1"/>
    <col min="12037" max="12037" width="5.25" style="3" customWidth="1"/>
    <col min="12038" max="12038" width="8.125" style="3" customWidth="1"/>
    <col min="12039" max="12039" width="1.625" style="3" customWidth="1"/>
    <col min="12040" max="12040" width="5.625" style="3" customWidth="1"/>
    <col min="12041" max="12041" width="1.625" style="3" customWidth="1"/>
    <col min="12042" max="12042" width="5.625" style="3" customWidth="1"/>
    <col min="12043" max="12043" width="1.625" style="3" customWidth="1"/>
    <col min="12044" max="12044" width="8.625" style="3" customWidth="1"/>
    <col min="12045" max="12047" width="0" style="3" hidden="1" customWidth="1"/>
    <col min="12048" max="12048" width="12.25" style="3" customWidth="1"/>
    <col min="12049" max="12049" width="6.625" style="3" customWidth="1"/>
    <col min="12050" max="12050" width="9.625" style="3" customWidth="1"/>
    <col min="12051" max="12052" width="7.625" style="3" customWidth="1"/>
    <col min="12053" max="12053" width="6.625" style="3" customWidth="1"/>
    <col min="12054" max="12054" width="14.625" style="3" customWidth="1"/>
    <col min="12055" max="12055" width="13.625" style="3" customWidth="1"/>
    <col min="12056" max="12056" width="0" style="3" hidden="1" customWidth="1"/>
    <col min="12057" max="12057" width="16.625" style="3" customWidth="1"/>
    <col min="12058" max="12058" width="3.625" style="3" customWidth="1"/>
    <col min="12059" max="12059" width="5.625" style="3" customWidth="1"/>
    <col min="12060" max="12060" width="6.625" style="3" customWidth="1"/>
    <col min="12061" max="12288" width="9" style="3"/>
    <col min="12289" max="12289" width="3.625" style="3" customWidth="1"/>
    <col min="12290" max="12291" width="12.625" style="3" customWidth="1"/>
    <col min="12292" max="12292" width="7.625" style="3" customWidth="1"/>
    <col min="12293" max="12293" width="5.25" style="3" customWidth="1"/>
    <col min="12294" max="12294" width="8.125" style="3" customWidth="1"/>
    <col min="12295" max="12295" width="1.625" style="3" customWidth="1"/>
    <col min="12296" max="12296" width="5.625" style="3" customWidth="1"/>
    <col min="12297" max="12297" width="1.625" style="3" customWidth="1"/>
    <col min="12298" max="12298" width="5.625" style="3" customWidth="1"/>
    <col min="12299" max="12299" width="1.625" style="3" customWidth="1"/>
    <col min="12300" max="12300" width="8.625" style="3" customWidth="1"/>
    <col min="12301" max="12303" width="0" style="3" hidden="1" customWidth="1"/>
    <col min="12304" max="12304" width="12.25" style="3" customWidth="1"/>
    <col min="12305" max="12305" width="6.625" style="3" customWidth="1"/>
    <col min="12306" max="12306" width="9.625" style="3" customWidth="1"/>
    <col min="12307" max="12308" width="7.625" style="3" customWidth="1"/>
    <col min="12309" max="12309" width="6.625" style="3" customWidth="1"/>
    <col min="12310" max="12310" width="14.625" style="3" customWidth="1"/>
    <col min="12311" max="12311" width="13.625" style="3" customWidth="1"/>
    <col min="12312" max="12312" width="0" style="3" hidden="1" customWidth="1"/>
    <col min="12313" max="12313" width="16.625" style="3" customWidth="1"/>
    <col min="12314" max="12314" width="3.625" style="3" customWidth="1"/>
    <col min="12315" max="12315" width="5.625" style="3" customWidth="1"/>
    <col min="12316" max="12316" width="6.625" style="3" customWidth="1"/>
    <col min="12317" max="12544" width="9" style="3"/>
    <col min="12545" max="12545" width="3.625" style="3" customWidth="1"/>
    <col min="12546" max="12547" width="12.625" style="3" customWidth="1"/>
    <col min="12548" max="12548" width="7.625" style="3" customWidth="1"/>
    <col min="12549" max="12549" width="5.25" style="3" customWidth="1"/>
    <col min="12550" max="12550" width="8.125" style="3" customWidth="1"/>
    <col min="12551" max="12551" width="1.625" style="3" customWidth="1"/>
    <col min="12552" max="12552" width="5.625" style="3" customWidth="1"/>
    <col min="12553" max="12553" width="1.625" style="3" customWidth="1"/>
    <col min="12554" max="12554" width="5.625" style="3" customWidth="1"/>
    <col min="12555" max="12555" width="1.625" style="3" customWidth="1"/>
    <col min="12556" max="12556" width="8.625" style="3" customWidth="1"/>
    <col min="12557" max="12559" width="0" style="3" hidden="1" customWidth="1"/>
    <col min="12560" max="12560" width="12.25" style="3" customWidth="1"/>
    <col min="12561" max="12561" width="6.625" style="3" customWidth="1"/>
    <col min="12562" max="12562" width="9.625" style="3" customWidth="1"/>
    <col min="12563" max="12564" width="7.625" style="3" customWidth="1"/>
    <col min="12565" max="12565" width="6.625" style="3" customWidth="1"/>
    <col min="12566" max="12566" width="14.625" style="3" customWidth="1"/>
    <col min="12567" max="12567" width="13.625" style="3" customWidth="1"/>
    <col min="12568" max="12568" width="0" style="3" hidden="1" customWidth="1"/>
    <col min="12569" max="12569" width="16.625" style="3" customWidth="1"/>
    <col min="12570" max="12570" width="3.625" style="3" customWidth="1"/>
    <col min="12571" max="12571" width="5.625" style="3" customWidth="1"/>
    <col min="12572" max="12572" width="6.625" style="3" customWidth="1"/>
    <col min="12573" max="12800" width="9" style="3"/>
    <col min="12801" max="12801" width="3.625" style="3" customWidth="1"/>
    <col min="12802" max="12803" width="12.625" style="3" customWidth="1"/>
    <col min="12804" max="12804" width="7.625" style="3" customWidth="1"/>
    <col min="12805" max="12805" width="5.25" style="3" customWidth="1"/>
    <col min="12806" max="12806" width="8.125" style="3" customWidth="1"/>
    <col min="12807" max="12807" width="1.625" style="3" customWidth="1"/>
    <col min="12808" max="12808" width="5.625" style="3" customWidth="1"/>
    <col min="12809" max="12809" width="1.625" style="3" customWidth="1"/>
    <col min="12810" max="12810" width="5.625" style="3" customWidth="1"/>
    <col min="12811" max="12811" width="1.625" style="3" customWidth="1"/>
    <col min="12812" max="12812" width="8.625" style="3" customWidth="1"/>
    <col min="12813" max="12815" width="0" style="3" hidden="1" customWidth="1"/>
    <col min="12816" max="12816" width="12.25" style="3" customWidth="1"/>
    <col min="12817" max="12817" width="6.625" style="3" customWidth="1"/>
    <col min="12818" max="12818" width="9.625" style="3" customWidth="1"/>
    <col min="12819" max="12820" width="7.625" style="3" customWidth="1"/>
    <col min="12821" max="12821" width="6.625" style="3" customWidth="1"/>
    <col min="12822" max="12822" width="14.625" style="3" customWidth="1"/>
    <col min="12823" max="12823" width="13.625" style="3" customWidth="1"/>
    <col min="12824" max="12824" width="0" style="3" hidden="1" customWidth="1"/>
    <col min="12825" max="12825" width="16.625" style="3" customWidth="1"/>
    <col min="12826" max="12826" width="3.625" style="3" customWidth="1"/>
    <col min="12827" max="12827" width="5.625" style="3" customWidth="1"/>
    <col min="12828" max="12828" width="6.625" style="3" customWidth="1"/>
    <col min="12829" max="13056" width="9" style="3"/>
    <col min="13057" max="13057" width="3.625" style="3" customWidth="1"/>
    <col min="13058" max="13059" width="12.625" style="3" customWidth="1"/>
    <col min="13060" max="13060" width="7.625" style="3" customWidth="1"/>
    <col min="13061" max="13061" width="5.25" style="3" customWidth="1"/>
    <col min="13062" max="13062" width="8.125" style="3" customWidth="1"/>
    <col min="13063" max="13063" width="1.625" style="3" customWidth="1"/>
    <col min="13064" max="13064" width="5.625" style="3" customWidth="1"/>
    <col min="13065" max="13065" width="1.625" style="3" customWidth="1"/>
    <col min="13066" max="13066" width="5.625" style="3" customWidth="1"/>
    <col min="13067" max="13067" width="1.625" style="3" customWidth="1"/>
    <col min="13068" max="13068" width="8.625" style="3" customWidth="1"/>
    <col min="13069" max="13071" width="0" style="3" hidden="1" customWidth="1"/>
    <col min="13072" max="13072" width="12.25" style="3" customWidth="1"/>
    <col min="13073" max="13073" width="6.625" style="3" customWidth="1"/>
    <col min="13074" max="13074" width="9.625" style="3" customWidth="1"/>
    <col min="13075" max="13076" width="7.625" style="3" customWidth="1"/>
    <col min="13077" max="13077" width="6.625" style="3" customWidth="1"/>
    <col min="13078" max="13078" width="14.625" style="3" customWidth="1"/>
    <col min="13079" max="13079" width="13.625" style="3" customWidth="1"/>
    <col min="13080" max="13080" width="0" style="3" hidden="1" customWidth="1"/>
    <col min="13081" max="13081" width="16.625" style="3" customWidth="1"/>
    <col min="13082" max="13082" width="3.625" style="3" customWidth="1"/>
    <col min="13083" max="13083" width="5.625" style="3" customWidth="1"/>
    <col min="13084" max="13084" width="6.625" style="3" customWidth="1"/>
    <col min="13085" max="13312" width="9" style="3"/>
    <col min="13313" max="13313" width="3.625" style="3" customWidth="1"/>
    <col min="13314" max="13315" width="12.625" style="3" customWidth="1"/>
    <col min="13316" max="13316" width="7.625" style="3" customWidth="1"/>
    <col min="13317" max="13317" width="5.25" style="3" customWidth="1"/>
    <col min="13318" max="13318" width="8.125" style="3" customWidth="1"/>
    <col min="13319" max="13319" width="1.625" style="3" customWidth="1"/>
    <col min="13320" max="13320" width="5.625" style="3" customWidth="1"/>
    <col min="13321" max="13321" width="1.625" style="3" customWidth="1"/>
    <col min="13322" max="13322" width="5.625" style="3" customWidth="1"/>
    <col min="13323" max="13323" width="1.625" style="3" customWidth="1"/>
    <col min="13324" max="13324" width="8.625" style="3" customWidth="1"/>
    <col min="13325" max="13327" width="0" style="3" hidden="1" customWidth="1"/>
    <col min="13328" max="13328" width="12.25" style="3" customWidth="1"/>
    <col min="13329" max="13329" width="6.625" style="3" customWidth="1"/>
    <col min="13330" max="13330" width="9.625" style="3" customWidth="1"/>
    <col min="13331" max="13332" width="7.625" style="3" customWidth="1"/>
    <col min="13333" max="13333" width="6.625" style="3" customWidth="1"/>
    <col min="13334" max="13334" width="14.625" style="3" customWidth="1"/>
    <col min="13335" max="13335" width="13.625" style="3" customWidth="1"/>
    <col min="13336" max="13336" width="0" style="3" hidden="1" customWidth="1"/>
    <col min="13337" max="13337" width="16.625" style="3" customWidth="1"/>
    <col min="13338" max="13338" width="3.625" style="3" customWidth="1"/>
    <col min="13339" max="13339" width="5.625" style="3" customWidth="1"/>
    <col min="13340" max="13340" width="6.625" style="3" customWidth="1"/>
    <col min="13341" max="13568" width="9" style="3"/>
    <col min="13569" max="13569" width="3.625" style="3" customWidth="1"/>
    <col min="13570" max="13571" width="12.625" style="3" customWidth="1"/>
    <col min="13572" max="13572" width="7.625" style="3" customWidth="1"/>
    <col min="13573" max="13573" width="5.25" style="3" customWidth="1"/>
    <col min="13574" max="13574" width="8.125" style="3" customWidth="1"/>
    <col min="13575" max="13575" width="1.625" style="3" customWidth="1"/>
    <col min="13576" max="13576" width="5.625" style="3" customWidth="1"/>
    <col min="13577" max="13577" width="1.625" style="3" customWidth="1"/>
    <col min="13578" max="13578" width="5.625" style="3" customWidth="1"/>
    <col min="13579" max="13579" width="1.625" style="3" customWidth="1"/>
    <col min="13580" max="13580" width="8.625" style="3" customWidth="1"/>
    <col min="13581" max="13583" width="0" style="3" hidden="1" customWidth="1"/>
    <col min="13584" max="13584" width="12.25" style="3" customWidth="1"/>
    <col min="13585" max="13585" width="6.625" style="3" customWidth="1"/>
    <col min="13586" max="13586" width="9.625" style="3" customWidth="1"/>
    <col min="13587" max="13588" width="7.625" style="3" customWidth="1"/>
    <col min="13589" max="13589" width="6.625" style="3" customWidth="1"/>
    <col min="13590" max="13590" width="14.625" style="3" customWidth="1"/>
    <col min="13591" max="13591" width="13.625" style="3" customWidth="1"/>
    <col min="13592" max="13592" width="0" style="3" hidden="1" customWidth="1"/>
    <col min="13593" max="13593" width="16.625" style="3" customWidth="1"/>
    <col min="13594" max="13594" width="3.625" style="3" customWidth="1"/>
    <col min="13595" max="13595" width="5.625" style="3" customWidth="1"/>
    <col min="13596" max="13596" width="6.625" style="3" customWidth="1"/>
    <col min="13597" max="13824" width="9" style="3"/>
    <col min="13825" max="13825" width="3.625" style="3" customWidth="1"/>
    <col min="13826" max="13827" width="12.625" style="3" customWidth="1"/>
    <col min="13828" max="13828" width="7.625" style="3" customWidth="1"/>
    <col min="13829" max="13829" width="5.25" style="3" customWidth="1"/>
    <col min="13830" max="13830" width="8.125" style="3" customWidth="1"/>
    <col min="13831" max="13831" width="1.625" style="3" customWidth="1"/>
    <col min="13832" max="13832" width="5.625" style="3" customWidth="1"/>
    <col min="13833" max="13833" width="1.625" style="3" customWidth="1"/>
    <col min="13834" max="13834" width="5.625" style="3" customWidth="1"/>
    <col min="13835" max="13835" width="1.625" style="3" customWidth="1"/>
    <col min="13836" max="13836" width="8.625" style="3" customWidth="1"/>
    <col min="13837" max="13839" width="0" style="3" hidden="1" customWidth="1"/>
    <col min="13840" max="13840" width="12.25" style="3" customWidth="1"/>
    <col min="13841" max="13841" width="6.625" style="3" customWidth="1"/>
    <col min="13842" max="13842" width="9.625" style="3" customWidth="1"/>
    <col min="13843" max="13844" width="7.625" style="3" customWidth="1"/>
    <col min="13845" max="13845" width="6.625" style="3" customWidth="1"/>
    <col min="13846" max="13846" width="14.625" style="3" customWidth="1"/>
    <col min="13847" max="13847" width="13.625" style="3" customWidth="1"/>
    <col min="13848" max="13848" width="0" style="3" hidden="1" customWidth="1"/>
    <col min="13849" max="13849" width="16.625" style="3" customWidth="1"/>
    <col min="13850" max="13850" width="3.625" style="3" customWidth="1"/>
    <col min="13851" max="13851" width="5.625" style="3" customWidth="1"/>
    <col min="13852" max="13852" width="6.625" style="3" customWidth="1"/>
    <col min="13853" max="14080" width="9" style="3"/>
    <col min="14081" max="14081" width="3.625" style="3" customWidth="1"/>
    <col min="14082" max="14083" width="12.625" style="3" customWidth="1"/>
    <col min="14084" max="14084" width="7.625" style="3" customWidth="1"/>
    <col min="14085" max="14085" width="5.25" style="3" customWidth="1"/>
    <col min="14086" max="14086" width="8.125" style="3" customWidth="1"/>
    <col min="14087" max="14087" width="1.625" style="3" customWidth="1"/>
    <col min="14088" max="14088" width="5.625" style="3" customWidth="1"/>
    <col min="14089" max="14089" width="1.625" style="3" customWidth="1"/>
    <col min="14090" max="14090" width="5.625" style="3" customWidth="1"/>
    <col min="14091" max="14091" width="1.625" style="3" customWidth="1"/>
    <col min="14092" max="14092" width="8.625" style="3" customWidth="1"/>
    <col min="14093" max="14095" width="0" style="3" hidden="1" customWidth="1"/>
    <col min="14096" max="14096" width="12.25" style="3" customWidth="1"/>
    <col min="14097" max="14097" width="6.625" style="3" customWidth="1"/>
    <col min="14098" max="14098" width="9.625" style="3" customWidth="1"/>
    <col min="14099" max="14100" width="7.625" style="3" customWidth="1"/>
    <col min="14101" max="14101" width="6.625" style="3" customWidth="1"/>
    <col min="14102" max="14102" width="14.625" style="3" customWidth="1"/>
    <col min="14103" max="14103" width="13.625" style="3" customWidth="1"/>
    <col min="14104" max="14104" width="0" style="3" hidden="1" customWidth="1"/>
    <col min="14105" max="14105" width="16.625" style="3" customWidth="1"/>
    <col min="14106" max="14106" width="3.625" style="3" customWidth="1"/>
    <col min="14107" max="14107" width="5.625" style="3" customWidth="1"/>
    <col min="14108" max="14108" width="6.625" style="3" customWidth="1"/>
    <col min="14109" max="14336" width="9" style="3"/>
    <col min="14337" max="14337" width="3.625" style="3" customWidth="1"/>
    <col min="14338" max="14339" width="12.625" style="3" customWidth="1"/>
    <col min="14340" max="14340" width="7.625" style="3" customWidth="1"/>
    <col min="14341" max="14341" width="5.25" style="3" customWidth="1"/>
    <col min="14342" max="14342" width="8.125" style="3" customWidth="1"/>
    <col min="14343" max="14343" width="1.625" style="3" customWidth="1"/>
    <col min="14344" max="14344" width="5.625" style="3" customWidth="1"/>
    <col min="14345" max="14345" width="1.625" style="3" customWidth="1"/>
    <col min="14346" max="14346" width="5.625" style="3" customWidth="1"/>
    <col min="14347" max="14347" width="1.625" style="3" customWidth="1"/>
    <col min="14348" max="14348" width="8.625" style="3" customWidth="1"/>
    <col min="14349" max="14351" width="0" style="3" hidden="1" customWidth="1"/>
    <col min="14352" max="14352" width="12.25" style="3" customWidth="1"/>
    <col min="14353" max="14353" width="6.625" style="3" customWidth="1"/>
    <col min="14354" max="14354" width="9.625" style="3" customWidth="1"/>
    <col min="14355" max="14356" width="7.625" style="3" customWidth="1"/>
    <col min="14357" max="14357" width="6.625" style="3" customWidth="1"/>
    <col min="14358" max="14358" width="14.625" style="3" customWidth="1"/>
    <col min="14359" max="14359" width="13.625" style="3" customWidth="1"/>
    <col min="14360" max="14360" width="0" style="3" hidden="1" customWidth="1"/>
    <col min="14361" max="14361" width="16.625" style="3" customWidth="1"/>
    <col min="14362" max="14362" width="3.625" style="3" customWidth="1"/>
    <col min="14363" max="14363" width="5.625" style="3" customWidth="1"/>
    <col min="14364" max="14364" width="6.625" style="3" customWidth="1"/>
    <col min="14365" max="14592" width="9" style="3"/>
    <col min="14593" max="14593" width="3.625" style="3" customWidth="1"/>
    <col min="14594" max="14595" width="12.625" style="3" customWidth="1"/>
    <col min="14596" max="14596" width="7.625" style="3" customWidth="1"/>
    <col min="14597" max="14597" width="5.25" style="3" customWidth="1"/>
    <col min="14598" max="14598" width="8.125" style="3" customWidth="1"/>
    <col min="14599" max="14599" width="1.625" style="3" customWidth="1"/>
    <col min="14600" max="14600" width="5.625" style="3" customWidth="1"/>
    <col min="14601" max="14601" width="1.625" style="3" customWidth="1"/>
    <col min="14602" max="14602" width="5.625" style="3" customWidth="1"/>
    <col min="14603" max="14603" width="1.625" style="3" customWidth="1"/>
    <col min="14604" max="14604" width="8.625" style="3" customWidth="1"/>
    <col min="14605" max="14607" width="0" style="3" hidden="1" customWidth="1"/>
    <col min="14608" max="14608" width="12.25" style="3" customWidth="1"/>
    <col min="14609" max="14609" width="6.625" style="3" customWidth="1"/>
    <col min="14610" max="14610" width="9.625" style="3" customWidth="1"/>
    <col min="14611" max="14612" width="7.625" style="3" customWidth="1"/>
    <col min="14613" max="14613" width="6.625" style="3" customWidth="1"/>
    <col min="14614" max="14614" width="14.625" style="3" customWidth="1"/>
    <col min="14615" max="14615" width="13.625" style="3" customWidth="1"/>
    <col min="14616" max="14616" width="0" style="3" hidden="1" customWidth="1"/>
    <col min="14617" max="14617" width="16.625" style="3" customWidth="1"/>
    <col min="14618" max="14618" width="3.625" style="3" customWidth="1"/>
    <col min="14619" max="14619" width="5.625" style="3" customWidth="1"/>
    <col min="14620" max="14620" width="6.625" style="3" customWidth="1"/>
    <col min="14621" max="14848" width="9" style="3"/>
    <col min="14849" max="14849" width="3.625" style="3" customWidth="1"/>
    <col min="14850" max="14851" width="12.625" style="3" customWidth="1"/>
    <col min="14852" max="14852" width="7.625" style="3" customWidth="1"/>
    <col min="14853" max="14853" width="5.25" style="3" customWidth="1"/>
    <col min="14854" max="14854" width="8.125" style="3" customWidth="1"/>
    <col min="14855" max="14855" width="1.625" style="3" customWidth="1"/>
    <col min="14856" max="14856" width="5.625" style="3" customWidth="1"/>
    <col min="14857" max="14857" width="1.625" style="3" customWidth="1"/>
    <col min="14858" max="14858" width="5.625" style="3" customWidth="1"/>
    <col min="14859" max="14859" width="1.625" style="3" customWidth="1"/>
    <col min="14860" max="14860" width="8.625" style="3" customWidth="1"/>
    <col min="14861" max="14863" width="0" style="3" hidden="1" customWidth="1"/>
    <col min="14864" max="14864" width="12.25" style="3" customWidth="1"/>
    <col min="14865" max="14865" width="6.625" style="3" customWidth="1"/>
    <col min="14866" max="14866" width="9.625" style="3" customWidth="1"/>
    <col min="14867" max="14868" width="7.625" style="3" customWidth="1"/>
    <col min="14869" max="14869" width="6.625" style="3" customWidth="1"/>
    <col min="14870" max="14870" width="14.625" style="3" customWidth="1"/>
    <col min="14871" max="14871" width="13.625" style="3" customWidth="1"/>
    <col min="14872" max="14872" width="0" style="3" hidden="1" customWidth="1"/>
    <col min="14873" max="14873" width="16.625" style="3" customWidth="1"/>
    <col min="14874" max="14874" width="3.625" style="3" customWidth="1"/>
    <col min="14875" max="14875" width="5.625" style="3" customWidth="1"/>
    <col min="14876" max="14876" width="6.625" style="3" customWidth="1"/>
    <col min="14877" max="15104" width="9" style="3"/>
    <col min="15105" max="15105" width="3.625" style="3" customWidth="1"/>
    <col min="15106" max="15107" width="12.625" style="3" customWidth="1"/>
    <col min="15108" max="15108" width="7.625" style="3" customWidth="1"/>
    <col min="15109" max="15109" width="5.25" style="3" customWidth="1"/>
    <col min="15110" max="15110" width="8.125" style="3" customWidth="1"/>
    <col min="15111" max="15111" width="1.625" style="3" customWidth="1"/>
    <col min="15112" max="15112" width="5.625" style="3" customWidth="1"/>
    <col min="15113" max="15113" width="1.625" style="3" customWidth="1"/>
    <col min="15114" max="15114" width="5.625" style="3" customWidth="1"/>
    <col min="15115" max="15115" width="1.625" style="3" customWidth="1"/>
    <col min="15116" max="15116" width="8.625" style="3" customWidth="1"/>
    <col min="15117" max="15119" width="0" style="3" hidden="1" customWidth="1"/>
    <col min="15120" max="15120" width="12.25" style="3" customWidth="1"/>
    <col min="15121" max="15121" width="6.625" style="3" customWidth="1"/>
    <col min="15122" max="15122" width="9.625" style="3" customWidth="1"/>
    <col min="15123" max="15124" width="7.625" style="3" customWidth="1"/>
    <col min="15125" max="15125" width="6.625" style="3" customWidth="1"/>
    <col min="15126" max="15126" width="14.625" style="3" customWidth="1"/>
    <col min="15127" max="15127" width="13.625" style="3" customWidth="1"/>
    <col min="15128" max="15128" width="0" style="3" hidden="1" customWidth="1"/>
    <col min="15129" max="15129" width="16.625" style="3" customWidth="1"/>
    <col min="15130" max="15130" width="3.625" style="3" customWidth="1"/>
    <col min="15131" max="15131" width="5.625" style="3" customWidth="1"/>
    <col min="15132" max="15132" width="6.625" style="3" customWidth="1"/>
    <col min="15133" max="15360" width="9" style="3"/>
    <col min="15361" max="15361" width="3.625" style="3" customWidth="1"/>
    <col min="15362" max="15363" width="12.625" style="3" customWidth="1"/>
    <col min="15364" max="15364" width="7.625" style="3" customWidth="1"/>
    <col min="15365" max="15365" width="5.25" style="3" customWidth="1"/>
    <col min="15366" max="15366" width="8.125" style="3" customWidth="1"/>
    <col min="15367" max="15367" width="1.625" style="3" customWidth="1"/>
    <col min="15368" max="15368" width="5.625" style="3" customWidth="1"/>
    <col min="15369" max="15369" width="1.625" style="3" customWidth="1"/>
    <col min="15370" max="15370" width="5.625" style="3" customWidth="1"/>
    <col min="15371" max="15371" width="1.625" style="3" customWidth="1"/>
    <col min="15372" max="15372" width="8.625" style="3" customWidth="1"/>
    <col min="15373" max="15375" width="0" style="3" hidden="1" customWidth="1"/>
    <col min="15376" max="15376" width="12.25" style="3" customWidth="1"/>
    <col min="15377" max="15377" width="6.625" style="3" customWidth="1"/>
    <col min="15378" max="15378" width="9.625" style="3" customWidth="1"/>
    <col min="15379" max="15380" width="7.625" style="3" customWidth="1"/>
    <col min="15381" max="15381" width="6.625" style="3" customWidth="1"/>
    <col min="15382" max="15382" width="14.625" style="3" customWidth="1"/>
    <col min="15383" max="15383" width="13.625" style="3" customWidth="1"/>
    <col min="15384" max="15384" width="0" style="3" hidden="1" customWidth="1"/>
    <col min="15385" max="15385" width="16.625" style="3" customWidth="1"/>
    <col min="15386" max="15386" width="3.625" style="3" customWidth="1"/>
    <col min="15387" max="15387" width="5.625" style="3" customWidth="1"/>
    <col min="15388" max="15388" width="6.625" style="3" customWidth="1"/>
    <col min="15389" max="15616" width="9" style="3"/>
    <col min="15617" max="15617" width="3.625" style="3" customWidth="1"/>
    <col min="15618" max="15619" width="12.625" style="3" customWidth="1"/>
    <col min="15620" max="15620" width="7.625" style="3" customWidth="1"/>
    <col min="15621" max="15621" width="5.25" style="3" customWidth="1"/>
    <col min="15622" max="15622" width="8.125" style="3" customWidth="1"/>
    <col min="15623" max="15623" width="1.625" style="3" customWidth="1"/>
    <col min="15624" max="15624" width="5.625" style="3" customWidth="1"/>
    <col min="15625" max="15625" width="1.625" style="3" customWidth="1"/>
    <col min="15626" max="15626" width="5.625" style="3" customWidth="1"/>
    <col min="15627" max="15627" width="1.625" style="3" customWidth="1"/>
    <col min="15628" max="15628" width="8.625" style="3" customWidth="1"/>
    <col min="15629" max="15631" width="0" style="3" hidden="1" customWidth="1"/>
    <col min="15632" max="15632" width="12.25" style="3" customWidth="1"/>
    <col min="15633" max="15633" width="6.625" style="3" customWidth="1"/>
    <col min="15634" max="15634" width="9.625" style="3" customWidth="1"/>
    <col min="15635" max="15636" width="7.625" style="3" customWidth="1"/>
    <col min="15637" max="15637" width="6.625" style="3" customWidth="1"/>
    <col min="15638" max="15638" width="14.625" style="3" customWidth="1"/>
    <col min="15639" max="15639" width="13.625" style="3" customWidth="1"/>
    <col min="15640" max="15640" width="0" style="3" hidden="1" customWidth="1"/>
    <col min="15641" max="15641" width="16.625" style="3" customWidth="1"/>
    <col min="15642" max="15642" width="3.625" style="3" customWidth="1"/>
    <col min="15643" max="15643" width="5.625" style="3" customWidth="1"/>
    <col min="15644" max="15644" width="6.625" style="3" customWidth="1"/>
    <col min="15645" max="15872" width="9" style="3"/>
    <col min="15873" max="15873" width="3.625" style="3" customWidth="1"/>
    <col min="15874" max="15875" width="12.625" style="3" customWidth="1"/>
    <col min="15876" max="15876" width="7.625" style="3" customWidth="1"/>
    <col min="15877" max="15877" width="5.25" style="3" customWidth="1"/>
    <col min="15878" max="15878" width="8.125" style="3" customWidth="1"/>
    <col min="15879" max="15879" width="1.625" style="3" customWidth="1"/>
    <col min="15880" max="15880" width="5.625" style="3" customWidth="1"/>
    <col min="15881" max="15881" width="1.625" style="3" customWidth="1"/>
    <col min="15882" max="15882" width="5.625" style="3" customWidth="1"/>
    <col min="15883" max="15883" width="1.625" style="3" customWidth="1"/>
    <col min="15884" max="15884" width="8.625" style="3" customWidth="1"/>
    <col min="15885" max="15887" width="0" style="3" hidden="1" customWidth="1"/>
    <col min="15888" max="15888" width="12.25" style="3" customWidth="1"/>
    <col min="15889" max="15889" width="6.625" style="3" customWidth="1"/>
    <col min="15890" max="15890" width="9.625" style="3" customWidth="1"/>
    <col min="15891" max="15892" width="7.625" style="3" customWidth="1"/>
    <col min="15893" max="15893" width="6.625" style="3" customWidth="1"/>
    <col min="15894" max="15894" width="14.625" style="3" customWidth="1"/>
    <col min="15895" max="15895" width="13.625" style="3" customWidth="1"/>
    <col min="15896" max="15896" width="0" style="3" hidden="1" customWidth="1"/>
    <col min="15897" max="15897" width="16.625" style="3" customWidth="1"/>
    <col min="15898" max="15898" width="3.625" style="3" customWidth="1"/>
    <col min="15899" max="15899" width="5.625" style="3" customWidth="1"/>
    <col min="15900" max="15900" width="6.625" style="3" customWidth="1"/>
    <col min="15901" max="16128" width="9" style="3"/>
    <col min="16129" max="16129" width="3.625" style="3" customWidth="1"/>
    <col min="16130" max="16131" width="12.625" style="3" customWidth="1"/>
    <col min="16132" max="16132" width="7.625" style="3" customWidth="1"/>
    <col min="16133" max="16133" width="5.25" style="3" customWidth="1"/>
    <col min="16134" max="16134" width="8.125" style="3" customWidth="1"/>
    <col min="16135" max="16135" width="1.625" style="3" customWidth="1"/>
    <col min="16136" max="16136" width="5.625" style="3" customWidth="1"/>
    <col min="16137" max="16137" width="1.625" style="3" customWidth="1"/>
    <col min="16138" max="16138" width="5.625" style="3" customWidth="1"/>
    <col min="16139" max="16139" width="1.625" style="3" customWidth="1"/>
    <col min="16140" max="16140" width="8.625" style="3" customWidth="1"/>
    <col min="16141" max="16143" width="0" style="3" hidden="1" customWidth="1"/>
    <col min="16144" max="16144" width="12.25" style="3" customWidth="1"/>
    <col min="16145" max="16145" width="6.625" style="3" customWidth="1"/>
    <col min="16146" max="16146" width="9.625" style="3" customWidth="1"/>
    <col min="16147" max="16148" width="7.625" style="3" customWidth="1"/>
    <col min="16149" max="16149" width="6.625" style="3" customWidth="1"/>
    <col min="16150" max="16150" width="14.625" style="3" customWidth="1"/>
    <col min="16151" max="16151" width="13.625" style="3" customWidth="1"/>
    <col min="16152" max="16152" width="0" style="3" hidden="1" customWidth="1"/>
    <col min="16153" max="16153" width="16.625" style="3" customWidth="1"/>
    <col min="16154" max="16154" width="3.625" style="3" customWidth="1"/>
    <col min="16155" max="16155" width="5.625" style="3" customWidth="1"/>
    <col min="16156" max="16156" width="6.625" style="3" customWidth="1"/>
    <col min="16157" max="16384" width="9" style="3"/>
  </cols>
  <sheetData>
    <row r="1" spans="1:38" ht="13.5" customHeight="1" x14ac:dyDescent="0.15">
      <c r="A1" s="373" t="s">
        <v>137</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129"/>
      <c r="AC1" s="129"/>
      <c r="AD1" s="129"/>
      <c r="AE1" s="129"/>
    </row>
    <row r="2" spans="1:38" ht="13.5" customHeight="1" x14ac:dyDescent="0.15">
      <c r="B2" s="208"/>
      <c r="D2" s="208"/>
      <c r="E2" s="208"/>
      <c r="F2" s="208"/>
      <c r="G2" s="208"/>
      <c r="H2" s="208"/>
      <c r="I2" s="208"/>
      <c r="J2" s="208"/>
      <c r="K2" s="130"/>
      <c r="W2" s="209"/>
      <c r="X2" s="209"/>
      <c r="Y2" s="209"/>
      <c r="Z2" s="209"/>
      <c r="AA2" s="577" t="s">
        <v>160</v>
      </c>
      <c r="AB2" s="209"/>
    </row>
    <row r="3" spans="1:38" ht="13.5" customHeight="1" x14ac:dyDescent="0.15">
      <c r="B3" s="506"/>
      <c r="C3" s="506"/>
      <c r="D3" s="506"/>
      <c r="E3" s="506"/>
      <c r="F3" s="506"/>
      <c r="G3" s="506"/>
      <c r="H3" s="506"/>
      <c r="I3" s="506"/>
      <c r="J3" s="506"/>
      <c r="K3" s="506"/>
      <c r="L3" s="506"/>
      <c r="M3" s="506"/>
      <c r="N3" s="506"/>
      <c r="O3" s="506"/>
      <c r="P3" s="506"/>
      <c r="Q3" s="506"/>
      <c r="R3" s="506"/>
      <c r="S3" s="506"/>
      <c r="T3" s="506"/>
      <c r="U3" s="506"/>
      <c r="V3" s="209"/>
      <c r="W3" s="209"/>
      <c r="X3" s="209"/>
      <c r="Y3" s="209"/>
      <c r="Z3" s="209"/>
      <c r="AA3" s="577"/>
      <c r="AB3" s="209"/>
    </row>
    <row r="4" spans="1:38" ht="13.5" customHeight="1" x14ac:dyDescent="0.15">
      <c r="B4" s="506"/>
      <c r="C4" s="506"/>
      <c r="D4" s="506"/>
      <c r="E4" s="506"/>
      <c r="F4" s="506"/>
      <c r="G4" s="506"/>
      <c r="H4" s="506"/>
      <c r="I4" s="506"/>
      <c r="J4" s="506"/>
      <c r="K4" s="506"/>
      <c r="L4" s="506"/>
      <c r="M4" s="506"/>
      <c r="N4" s="506"/>
      <c r="O4" s="506"/>
      <c r="P4" s="506"/>
      <c r="Q4" s="506"/>
      <c r="R4" s="506"/>
      <c r="S4" s="506"/>
      <c r="T4" s="506"/>
      <c r="U4" s="506"/>
      <c r="X4" s="211"/>
      <c r="Y4" s="211"/>
      <c r="Z4" s="211"/>
      <c r="AA4" s="211"/>
      <c r="AB4" s="211"/>
    </row>
    <row r="5" spans="1:38" ht="13.5" customHeight="1" x14ac:dyDescent="0.15">
      <c r="C5" s="208"/>
      <c r="D5" s="208"/>
      <c r="E5" s="208"/>
      <c r="F5" s="208"/>
      <c r="G5" s="208"/>
      <c r="H5" s="208"/>
      <c r="I5" s="208"/>
      <c r="J5" s="208"/>
      <c r="K5" s="130"/>
      <c r="W5" s="209"/>
      <c r="X5" s="209"/>
      <c r="Y5" s="209"/>
      <c r="Z5" s="209"/>
      <c r="AA5" s="209"/>
      <c r="AB5" s="209"/>
    </row>
    <row r="6" spans="1:38" ht="13.5" customHeight="1" x14ac:dyDescent="0.15">
      <c r="C6" s="208"/>
      <c r="D6" s="208"/>
      <c r="E6" s="208"/>
      <c r="F6" s="208"/>
      <c r="G6" s="208"/>
      <c r="H6" s="208"/>
      <c r="I6" s="208"/>
      <c r="J6" s="208"/>
      <c r="K6" s="130"/>
      <c r="W6" s="209"/>
      <c r="X6" s="209"/>
      <c r="Y6" s="209"/>
      <c r="Z6" s="209"/>
      <c r="AA6" s="209"/>
      <c r="AB6" s="209"/>
    </row>
    <row r="7" spans="1:38" ht="18.75" customHeight="1" x14ac:dyDescent="0.15">
      <c r="B7" s="645"/>
      <c r="C7" s="645"/>
      <c r="D7" s="645"/>
      <c r="E7" s="645"/>
      <c r="F7" s="210" t="s">
        <v>72</v>
      </c>
      <c r="H7" s="212"/>
      <c r="I7" s="212"/>
      <c r="K7" s="132"/>
      <c r="P7" s="267" t="s">
        <v>161</v>
      </c>
    </row>
    <row r="8" spans="1:38" ht="14.25" x14ac:dyDescent="0.15">
      <c r="C8" s="213"/>
      <c r="D8" s="213"/>
      <c r="E8" s="213"/>
      <c r="F8" s="213"/>
      <c r="G8" s="213"/>
      <c r="H8" s="213"/>
      <c r="I8" s="9"/>
      <c r="J8" s="130"/>
      <c r="K8" s="130"/>
    </row>
    <row r="9" spans="1:38" ht="42.95" customHeight="1" x14ac:dyDescent="0.15">
      <c r="C9" s="9"/>
      <c r="D9" s="9"/>
      <c r="E9" s="9"/>
      <c r="F9" s="9"/>
      <c r="G9" s="9"/>
      <c r="H9" s="9"/>
      <c r="I9" s="9"/>
      <c r="J9" s="130"/>
      <c r="K9" s="130"/>
    </row>
    <row r="10" spans="1:38" s="16" customFormat="1" ht="11.25" x14ac:dyDescent="0.15">
      <c r="B10" s="214" t="s">
        <v>139</v>
      </c>
      <c r="C10" s="214"/>
      <c r="D10" s="209"/>
      <c r="E10" s="209"/>
      <c r="F10" s="209"/>
      <c r="G10" s="209"/>
      <c r="H10" s="209"/>
      <c r="I10" s="209"/>
      <c r="J10" s="209"/>
      <c r="K10" s="209"/>
      <c r="L10" s="209"/>
      <c r="M10" s="209"/>
      <c r="N10" s="209"/>
      <c r="O10" s="209"/>
      <c r="P10" s="209"/>
      <c r="Q10" s="209"/>
      <c r="R10" s="209"/>
      <c r="S10" s="209"/>
      <c r="T10" s="209"/>
      <c r="U10" s="209"/>
      <c r="V10" s="209"/>
      <c r="W10" s="209"/>
      <c r="X10" s="209"/>
      <c r="Y10" s="209"/>
      <c r="Z10" s="209"/>
      <c r="AA10" s="209"/>
      <c r="AB10" s="209"/>
    </row>
    <row r="11" spans="1:38" s="16" customFormat="1" ht="14.25" x14ac:dyDescent="0.15">
      <c r="B11" s="214" t="s">
        <v>140</v>
      </c>
      <c r="C11" s="214"/>
      <c r="D11" s="209"/>
      <c r="E11" s="209"/>
      <c r="F11" s="209"/>
      <c r="G11" s="209"/>
      <c r="H11" s="209"/>
      <c r="I11" s="209"/>
      <c r="J11" s="209"/>
      <c r="K11" s="209"/>
      <c r="L11" s="209"/>
      <c r="M11" s="209"/>
      <c r="N11" s="209"/>
      <c r="O11" s="209"/>
      <c r="P11" s="209"/>
      <c r="Q11" s="209"/>
      <c r="R11" s="209"/>
      <c r="S11" s="209"/>
      <c r="T11" s="209"/>
      <c r="U11" s="209"/>
      <c r="V11" s="209"/>
      <c r="W11" s="134" t="s">
        <v>141</v>
      </c>
      <c r="X11" s="661"/>
      <c r="Y11" s="661"/>
      <c r="Z11" s="661"/>
      <c r="AA11" s="209"/>
      <c r="AB11" s="209"/>
    </row>
    <row r="12" spans="1:38" s="16" customFormat="1" ht="14.25" x14ac:dyDescent="0.15">
      <c r="B12" s="214" t="s">
        <v>162</v>
      </c>
      <c r="C12" s="214"/>
      <c r="D12" s="209"/>
      <c r="E12" s="209"/>
      <c r="F12" s="209"/>
      <c r="G12" s="209"/>
      <c r="H12" s="209"/>
      <c r="I12" s="209"/>
      <c r="J12" s="209"/>
      <c r="K12" s="209"/>
      <c r="L12" s="209"/>
      <c r="M12" s="209"/>
      <c r="N12" s="209"/>
      <c r="O12" s="209"/>
      <c r="P12" s="209"/>
      <c r="Q12" s="209"/>
      <c r="R12" s="209"/>
      <c r="S12" s="209"/>
      <c r="T12" s="209"/>
      <c r="U12" s="209"/>
      <c r="V12" s="209"/>
      <c r="W12" s="134" t="s">
        <v>74</v>
      </c>
      <c r="X12" s="662">
        <v>38717</v>
      </c>
      <c r="Y12" s="662"/>
      <c r="Z12" s="662"/>
      <c r="AA12" s="216" t="s">
        <v>75</v>
      </c>
      <c r="AB12" s="209"/>
    </row>
    <row r="13" spans="1:38" s="16" customFormat="1" ht="14.25" x14ac:dyDescent="0.15">
      <c r="B13" s="214"/>
      <c r="C13" s="214"/>
      <c r="D13" s="209"/>
      <c r="E13" s="209"/>
      <c r="F13" s="209"/>
      <c r="G13" s="209"/>
      <c r="H13" s="209"/>
      <c r="I13" s="209"/>
      <c r="J13" s="209"/>
      <c r="K13" s="209"/>
      <c r="L13" s="209"/>
      <c r="M13" s="209"/>
      <c r="N13" s="209"/>
      <c r="O13" s="209"/>
      <c r="P13" s="209"/>
      <c r="Q13" s="209"/>
      <c r="R13" s="209"/>
      <c r="S13" s="209"/>
      <c r="T13" s="209"/>
      <c r="U13" s="209"/>
      <c r="V13" s="209"/>
      <c r="W13" s="209"/>
      <c r="X13" s="209"/>
      <c r="Y13" s="209"/>
      <c r="Z13" s="209"/>
      <c r="AB13" s="134"/>
      <c r="AC13" s="134"/>
      <c r="AD13" s="134"/>
      <c r="AF13" s="141"/>
      <c r="AG13" s="141"/>
      <c r="AH13" s="141"/>
      <c r="AI13" s="141"/>
      <c r="AJ13" s="141"/>
      <c r="AK13" s="141"/>
      <c r="AL13" s="141"/>
    </row>
    <row r="14" spans="1:38" s="16" customFormat="1" ht="6.75" customHeight="1" x14ac:dyDescent="0.15">
      <c r="B14" s="268"/>
      <c r="C14" s="268"/>
      <c r="D14" s="268"/>
      <c r="E14" s="268"/>
      <c r="F14" s="268"/>
      <c r="G14" s="268"/>
      <c r="H14" s="268"/>
      <c r="I14" s="268"/>
      <c r="J14" s="268"/>
      <c r="K14" s="268"/>
      <c r="L14" s="268"/>
      <c r="M14" s="268"/>
      <c r="N14" s="268"/>
      <c r="O14" s="268"/>
      <c r="P14" s="268"/>
      <c r="Q14" s="268"/>
      <c r="R14" s="268"/>
      <c r="S14" s="268"/>
      <c r="T14" s="268"/>
      <c r="U14" s="268"/>
      <c r="V14" s="268"/>
      <c r="W14" s="268"/>
      <c r="X14" s="268"/>
      <c r="Y14" s="268"/>
      <c r="Z14" s="268"/>
      <c r="AA14" s="268"/>
      <c r="AB14" s="268"/>
    </row>
    <row r="15" spans="1:38" s="9" customFormat="1" x14ac:dyDescent="0.15">
      <c r="A15" s="143"/>
      <c r="B15" s="647" t="s">
        <v>143</v>
      </c>
      <c r="C15" s="647"/>
      <c r="D15" s="647"/>
      <c r="E15" s="143"/>
      <c r="F15" s="143"/>
      <c r="G15" s="143"/>
      <c r="H15" s="143"/>
      <c r="I15" s="143"/>
      <c r="J15" s="143"/>
      <c r="K15" s="143"/>
      <c r="L15" s="143"/>
      <c r="M15" s="143"/>
      <c r="N15" s="143"/>
      <c r="O15" s="143"/>
      <c r="P15" s="143"/>
      <c r="Q15" s="143"/>
      <c r="R15" s="143"/>
      <c r="S15" s="143"/>
      <c r="T15" s="143"/>
      <c r="U15" s="143"/>
      <c r="V15" s="143"/>
      <c r="W15" s="217"/>
      <c r="X15" s="217"/>
      <c r="Y15" s="217"/>
      <c r="Z15" s="217"/>
      <c r="AA15" s="217"/>
      <c r="AB15" s="143"/>
    </row>
    <row r="16" spans="1:38" s="134" customFormat="1" ht="11.25" x14ac:dyDescent="0.15">
      <c r="A16" s="610" t="s">
        <v>144</v>
      </c>
      <c r="B16" s="610"/>
      <c r="C16" s="610"/>
      <c r="D16" s="610"/>
      <c r="E16" s="610"/>
      <c r="F16" s="610"/>
      <c r="G16" s="610"/>
      <c r="H16" s="610"/>
      <c r="I16" s="610"/>
      <c r="J16" s="610"/>
      <c r="K16" s="610"/>
      <c r="L16" s="610"/>
      <c r="M16" s="610"/>
      <c r="N16" s="610"/>
      <c r="O16" s="610"/>
      <c r="P16" s="610" t="s">
        <v>145</v>
      </c>
      <c r="Q16" s="610"/>
      <c r="R16" s="610"/>
      <c r="S16" s="610" t="s">
        <v>146</v>
      </c>
      <c r="T16" s="610"/>
      <c r="U16" s="610"/>
      <c r="V16" s="610"/>
      <c r="W16" s="610"/>
      <c r="X16" s="610"/>
      <c r="Y16" s="610"/>
      <c r="Z16" s="610"/>
      <c r="AA16" s="610"/>
    </row>
    <row r="17" spans="1:29" s="134" customFormat="1" ht="13.5" customHeight="1" x14ac:dyDescent="0.15">
      <c r="A17" s="610" t="s">
        <v>91</v>
      </c>
      <c r="B17" s="546" t="s">
        <v>163</v>
      </c>
      <c r="C17" s="611"/>
      <c r="D17" s="552" t="s">
        <v>93</v>
      </c>
      <c r="E17" s="614"/>
      <c r="F17" s="610" t="s">
        <v>148</v>
      </c>
      <c r="G17" s="552" t="s">
        <v>94</v>
      </c>
      <c r="H17" s="615"/>
      <c r="I17" s="615"/>
      <c r="J17" s="614"/>
      <c r="K17" s="554" t="s">
        <v>95</v>
      </c>
      <c r="L17" s="611"/>
      <c r="M17" s="546" t="s">
        <v>149</v>
      </c>
      <c r="N17" s="557"/>
      <c r="O17" s="618"/>
      <c r="P17" s="617" t="s">
        <v>150</v>
      </c>
      <c r="Q17" s="617" t="s">
        <v>94</v>
      </c>
      <c r="R17" s="617" t="s">
        <v>95</v>
      </c>
      <c r="S17" s="546" t="s">
        <v>151</v>
      </c>
      <c r="T17" s="618"/>
      <c r="U17" s="544" t="s">
        <v>152</v>
      </c>
      <c r="V17" s="544" t="s">
        <v>153</v>
      </c>
      <c r="W17" s="617" t="s">
        <v>100</v>
      </c>
      <c r="X17" s="617" t="s">
        <v>101</v>
      </c>
      <c r="Y17" s="546" t="s">
        <v>154</v>
      </c>
      <c r="Z17" s="557"/>
      <c r="AA17" s="618"/>
    </row>
    <row r="18" spans="1:29" s="134" customFormat="1" ht="11.25" x14ac:dyDescent="0.15">
      <c r="A18" s="610"/>
      <c r="B18" s="612"/>
      <c r="C18" s="613"/>
      <c r="D18" s="552"/>
      <c r="E18" s="614"/>
      <c r="F18" s="610"/>
      <c r="G18" s="552" t="s">
        <v>19</v>
      </c>
      <c r="H18" s="614"/>
      <c r="I18" s="552" t="s">
        <v>20</v>
      </c>
      <c r="J18" s="614"/>
      <c r="K18" s="612"/>
      <c r="L18" s="613"/>
      <c r="M18" s="619"/>
      <c r="N18" s="620"/>
      <c r="O18" s="621"/>
      <c r="P18" s="617"/>
      <c r="Q18" s="617"/>
      <c r="R18" s="617"/>
      <c r="S18" s="619"/>
      <c r="T18" s="621"/>
      <c r="U18" s="601"/>
      <c r="V18" s="601"/>
      <c r="W18" s="617"/>
      <c r="X18" s="617"/>
      <c r="Y18" s="619"/>
      <c r="Z18" s="620"/>
      <c r="AA18" s="621"/>
    </row>
    <row r="19" spans="1:29" s="16" customFormat="1" ht="26.1" customHeight="1" x14ac:dyDescent="0.15">
      <c r="A19" s="218"/>
      <c r="B19" s="540"/>
      <c r="C19" s="604"/>
      <c r="D19" s="605"/>
      <c r="E19" s="606"/>
      <c r="F19" s="219"/>
      <c r="G19" s="576"/>
      <c r="H19" s="604"/>
      <c r="I19" s="576"/>
      <c r="J19" s="604"/>
      <c r="K19" s="543"/>
      <c r="L19" s="642"/>
      <c r="M19" s="550"/>
      <c r="N19" s="643"/>
      <c r="O19" s="644"/>
      <c r="P19" s="269"/>
      <c r="Q19" s="221"/>
      <c r="R19" s="222"/>
      <c r="S19" s="640"/>
      <c r="T19" s="641"/>
      <c r="U19" s="223"/>
      <c r="V19" s="224"/>
      <c r="W19" s="224"/>
      <c r="X19" s="224"/>
      <c r="Y19" s="537"/>
      <c r="Z19" s="538"/>
      <c r="AA19" s="603"/>
    </row>
    <row r="20" spans="1:29" s="16" customFormat="1" ht="26.1" customHeight="1" x14ac:dyDescent="0.15">
      <c r="A20" s="225"/>
      <c r="B20" s="568"/>
      <c r="C20" s="569"/>
      <c r="D20" s="596"/>
      <c r="E20" s="597"/>
      <c r="F20" s="228"/>
      <c r="G20" s="567"/>
      <c r="H20" s="571"/>
      <c r="I20" s="567"/>
      <c r="J20" s="571"/>
      <c r="K20" s="529"/>
      <c r="L20" s="572"/>
      <c r="M20" s="513"/>
      <c r="N20" s="573"/>
      <c r="O20" s="574"/>
      <c r="P20" s="270"/>
      <c r="Q20" s="233"/>
      <c r="R20" s="234"/>
      <c r="S20" s="626"/>
      <c r="T20" s="627"/>
      <c r="U20" s="235"/>
      <c r="V20" s="236"/>
      <c r="W20" s="236"/>
      <c r="X20" s="236"/>
      <c r="Y20" s="515"/>
      <c r="Z20" s="516"/>
      <c r="AA20" s="575"/>
    </row>
    <row r="21" spans="1:29" s="16" customFormat="1" ht="26.1" customHeight="1" x14ac:dyDescent="0.15">
      <c r="A21" s="225"/>
      <c r="B21" s="568"/>
      <c r="C21" s="569"/>
      <c r="D21" s="596"/>
      <c r="E21" s="597"/>
      <c r="F21" s="228"/>
      <c r="G21" s="567"/>
      <c r="H21" s="571"/>
      <c r="I21" s="567"/>
      <c r="J21" s="571"/>
      <c r="K21" s="529"/>
      <c r="L21" s="572"/>
      <c r="M21" s="513"/>
      <c r="N21" s="573"/>
      <c r="O21" s="574"/>
      <c r="P21" s="270"/>
      <c r="Q21" s="233"/>
      <c r="R21" s="234"/>
      <c r="S21" s="626"/>
      <c r="T21" s="627"/>
      <c r="U21" s="235"/>
      <c r="V21" s="236"/>
      <c r="W21" s="236"/>
      <c r="X21" s="236"/>
      <c r="Y21" s="515"/>
      <c r="Z21" s="516"/>
      <c r="AA21" s="575"/>
    </row>
    <row r="22" spans="1:29" s="16" customFormat="1" ht="26.1" customHeight="1" x14ac:dyDescent="0.15">
      <c r="A22" s="241"/>
      <c r="B22" s="566"/>
      <c r="C22" s="634"/>
      <c r="D22" s="596"/>
      <c r="E22" s="597"/>
      <c r="F22" s="228"/>
      <c r="G22" s="567"/>
      <c r="H22" s="571"/>
      <c r="I22" s="567"/>
      <c r="J22" s="571"/>
      <c r="K22" s="529"/>
      <c r="L22" s="572"/>
      <c r="M22" s="513"/>
      <c r="N22" s="573"/>
      <c r="O22" s="574"/>
      <c r="P22" s="270"/>
      <c r="Q22" s="233"/>
      <c r="R22" s="234"/>
      <c r="S22" s="626"/>
      <c r="T22" s="627"/>
      <c r="U22" s="235"/>
      <c r="V22" s="236"/>
      <c r="W22" s="236"/>
      <c r="X22" s="236"/>
      <c r="Y22" s="515"/>
      <c r="Z22" s="516"/>
      <c r="AA22" s="575"/>
    </row>
    <row r="23" spans="1:29" s="134" customFormat="1" ht="26.1" customHeight="1" x14ac:dyDescent="0.15">
      <c r="A23" s="241"/>
      <c r="B23" s="566"/>
      <c r="C23" s="634"/>
      <c r="D23" s="596"/>
      <c r="E23" s="597"/>
      <c r="F23" s="228"/>
      <c r="G23" s="567"/>
      <c r="H23" s="571"/>
      <c r="I23" s="567"/>
      <c r="J23" s="571"/>
      <c r="K23" s="529"/>
      <c r="L23" s="572"/>
      <c r="M23" s="513"/>
      <c r="N23" s="573"/>
      <c r="O23" s="574"/>
      <c r="P23" s="270"/>
      <c r="Q23" s="233"/>
      <c r="R23" s="234"/>
      <c r="S23" s="626"/>
      <c r="T23" s="627"/>
      <c r="U23" s="235"/>
      <c r="V23" s="236"/>
      <c r="W23" s="236"/>
      <c r="X23" s="236"/>
      <c r="Y23" s="515"/>
      <c r="Z23" s="516"/>
      <c r="AA23" s="575"/>
    </row>
    <row r="24" spans="1:29" s="16" customFormat="1" ht="26.1" customHeight="1" x14ac:dyDescent="0.15">
      <c r="A24" s="242"/>
      <c r="B24" s="564"/>
      <c r="C24" s="628"/>
      <c r="D24" s="589"/>
      <c r="E24" s="590"/>
      <c r="F24" s="243"/>
      <c r="G24" s="565"/>
      <c r="H24" s="588"/>
      <c r="I24" s="565"/>
      <c r="J24" s="588"/>
      <c r="K24" s="521"/>
      <c r="L24" s="629"/>
      <c r="M24" s="522"/>
      <c r="N24" s="630"/>
      <c r="O24" s="631"/>
      <c r="P24" s="271"/>
      <c r="Q24" s="245"/>
      <c r="R24" s="246"/>
      <c r="S24" s="632"/>
      <c r="T24" s="633"/>
      <c r="U24" s="247"/>
      <c r="V24" s="248"/>
      <c r="W24" s="248"/>
      <c r="X24" s="248"/>
      <c r="Y24" s="524"/>
      <c r="Z24" s="525"/>
      <c r="AA24" s="595"/>
    </row>
    <row r="25" spans="1:29" s="201" customFormat="1" ht="26.1" customHeight="1" x14ac:dyDescent="0.15">
      <c r="A25" s="562" t="s">
        <v>157</v>
      </c>
      <c r="B25" s="622"/>
      <c r="C25" s="622"/>
      <c r="D25" s="622"/>
      <c r="E25" s="622"/>
      <c r="F25" s="623"/>
      <c r="G25" s="624">
        <f>SUM(G19:H24)</f>
        <v>0</v>
      </c>
      <c r="H25" s="625"/>
      <c r="I25" s="624">
        <f>SUM(I19:J24)</f>
        <v>0</v>
      </c>
      <c r="J25" s="625"/>
      <c r="K25" s="249"/>
      <c r="L25" s="250"/>
      <c r="M25" s="250"/>
      <c r="N25" s="250"/>
      <c r="O25" s="250"/>
      <c r="P25" s="250"/>
      <c r="Q25" s="250"/>
      <c r="R25" s="250"/>
      <c r="S25" s="250"/>
      <c r="T25" s="251"/>
      <c r="U25" s="252"/>
      <c r="V25" s="272">
        <f>SUM(V19:V24)</f>
        <v>0</v>
      </c>
      <c r="W25" s="272">
        <f>SUM(W19:W24)</f>
        <v>0</v>
      </c>
      <c r="X25" s="272">
        <f>SUM(X19:X24)</f>
        <v>0</v>
      </c>
      <c r="Y25" s="584">
        <f>SUM(V25-W25-X25)</f>
        <v>0</v>
      </c>
      <c r="Z25" s="585"/>
      <c r="AA25" s="586"/>
    </row>
    <row r="26" spans="1:29" ht="7.5" customHeight="1" x14ac:dyDescent="0.15">
      <c r="A26" s="136"/>
      <c r="B26" s="136"/>
      <c r="C26" s="136"/>
      <c r="D26" s="136"/>
      <c r="E26" s="136"/>
      <c r="F26" s="136"/>
      <c r="G26" s="136"/>
      <c r="H26" s="136"/>
      <c r="I26" s="136"/>
      <c r="J26" s="136"/>
      <c r="K26" s="136"/>
      <c r="M26" s="136"/>
      <c r="N26" s="136"/>
      <c r="O26" s="136"/>
      <c r="P26" s="136"/>
      <c r="Q26" s="136"/>
      <c r="R26" s="136"/>
      <c r="S26" s="136"/>
      <c r="T26" s="136"/>
      <c r="U26" s="136"/>
      <c r="V26" s="254"/>
      <c r="W26" s="254"/>
      <c r="X26" s="254"/>
      <c r="Y26" s="559"/>
      <c r="Z26" s="559"/>
      <c r="AA26" s="559"/>
      <c r="AB26" s="136"/>
    </row>
    <row r="27" spans="1:29" x14ac:dyDescent="0.15">
      <c r="A27" s="136"/>
      <c r="B27" s="209" t="s">
        <v>158</v>
      </c>
      <c r="D27" s="142"/>
      <c r="F27" s="143"/>
      <c r="G27" s="143"/>
      <c r="H27" s="143"/>
      <c r="I27" s="143"/>
      <c r="J27" s="142"/>
      <c r="K27" s="142"/>
      <c r="M27" s="142"/>
      <c r="N27" s="142"/>
      <c r="O27" s="142"/>
      <c r="P27" s="142"/>
      <c r="Q27" s="142"/>
      <c r="R27" s="142"/>
      <c r="S27" s="142"/>
      <c r="T27" s="435"/>
      <c r="U27" s="435"/>
      <c r="V27" s="435"/>
      <c r="W27" s="435"/>
      <c r="X27" s="435"/>
      <c r="Y27" s="435"/>
      <c r="Z27" s="435"/>
      <c r="AA27" s="435"/>
      <c r="AB27" s="142"/>
    </row>
    <row r="28" spans="1:29" x14ac:dyDescent="0.15">
      <c r="A28" s="136"/>
      <c r="B28" s="16" t="s">
        <v>105</v>
      </c>
      <c r="C28" s="184"/>
      <c r="D28" s="136"/>
      <c r="E28" s="143"/>
      <c r="F28" s="143"/>
      <c r="G28" s="143"/>
      <c r="H28" s="143"/>
      <c r="I28" s="143"/>
      <c r="J28" s="136"/>
      <c r="K28" s="136"/>
      <c r="M28" s="136"/>
      <c r="N28" s="136"/>
      <c r="O28" s="136"/>
      <c r="P28" s="136"/>
      <c r="Q28" s="136"/>
      <c r="R28" s="136"/>
      <c r="S28" s="136"/>
      <c r="T28" s="136"/>
      <c r="U28" s="136"/>
      <c r="V28" s="136"/>
      <c r="W28" s="136"/>
      <c r="X28" s="136"/>
      <c r="Y28" s="136"/>
      <c r="Z28" s="136"/>
      <c r="AA28" s="136"/>
      <c r="AB28" s="142"/>
    </row>
    <row r="29" spans="1:29" ht="9.9499999999999993" customHeight="1" x14ac:dyDescent="0.15">
      <c r="A29" s="560"/>
      <c r="B29" s="560"/>
      <c r="C29" s="560"/>
      <c r="D29" s="560"/>
      <c r="E29" s="560"/>
      <c r="F29" s="560"/>
      <c r="G29" s="560"/>
      <c r="H29" s="560"/>
      <c r="I29" s="560"/>
      <c r="J29" s="560"/>
      <c r="K29" s="560"/>
      <c r="L29" s="560"/>
      <c r="M29" s="560"/>
      <c r="N29" s="560"/>
      <c r="O29" s="560"/>
      <c r="P29" s="560"/>
      <c r="Q29" s="560"/>
      <c r="R29" s="560"/>
      <c r="S29" s="560"/>
      <c r="T29" s="560"/>
      <c r="U29" s="560"/>
      <c r="V29" s="560"/>
      <c r="W29" s="560"/>
      <c r="X29" s="560"/>
      <c r="Y29" s="560"/>
      <c r="Z29" s="560"/>
      <c r="AA29" s="560"/>
      <c r="AB29" s="143"/>
      <c r="AC29" s="143"/>
    </row>
    <row r="30" spans="1:29" s="136" customFormat="1" ht="10.5" x14ac:dyDescent="0.15">
      <c r="A30" s="435" t="str">
        <f>A1</f>
        <v>(No． 1 )</v>
      </c>
      <c r="B30" s="435"/>
      <c r="C30" s="435"/>
      <c r="D30" s="435"/>
      <c r="E30" s="435"/>
      <c r="F30" s="435"/>
      <c r="G30" s="435"/>
      <c r="H30" s="435"/>
      <c r="I30" s="435"/>
      <c r="J30" s="435"/>
      <c r="K30" s="435"/>
      <c r="L30" s="435"/>
      <c r="M30" s="435"/>
      <c r="N30" s="435"/>
      <c r="O30" s="435"/>
      <c r="P30" s="435"/>
      <c r="Q30" s="435"/>
      <c r="R30" s="435"/>
      <c r="S30" s="435"/>
      <c r="T30" s="435"/>
      <c r="U30" s="435"/>
      <c r="V30" s="435"/>
      <c r="W30" s="435"/>
      <c r="X30" s="435"/>
      <c r="Y30" s="435"/>
      <c r="Z30" s="435"/>
      <c r="AA30" s="435"/>
      <c r="AB30" s="143"/>
      <c r="AC30" s="143"/>
    </row>
    <row r="31" spans="1:29" s="16" customFormat="1" ht="13.5" customHeight="1" x14ac:dyDescent="0.15">
      <c r="C31" s="558">
        <f>B2</f>
        <v>0</v>
      </c>
      <c r="D31" s="558"/>
      <c r="E31" s="558"/>
      <c r="F31" s="558"/>
      <c r="G31" s="558"/>
      <c r="H31" s="558"/>
      <c r="I31" s="558"/>
      <c r="J31" s="558"/>
      <c r="K31" s="209"/>
      <c r="T31" s="209"/>
      <c r="U31" s="209"/>
      <c r="V31" s="209"/>
      <c r="W31" s="209"/>
      <c r="X31" s="209"/>
      <c r="Y31" s="209"/>
      <c r="Z31" s="209"/>
      <c r="AA31" s="1"/>
      <c r="AB31" s="209"/>
    </row>
    <row r="32" spans="1:29" s="16" customFormat="1" ht="13.5" customHeight="1" x14ac:dyDescent="0.15">
      <c r="C32" s="558">
        <f>B3</f>
        <v>0</v>
      </c>
      <c r="D32" s="558"/>
      <c r="E32" s="558"/>
      <c r="F32" s="558"/>
      <c r="G32" s="558"/>
      <c r="H32" s="558"/>
      <c r="I32" s="558"/>
      <c r="J32" s="558"/>
      <c r="K32" s="558"/>
      <c r="L32" s="558"/>
      <c r="M32" s="558"/>
      <c r="N32" s="558"/>
      <c r="O32" s="558"/>
      <c r="P32" s="558"/>
      <c r="Q32" s="558"/>
      <c r="R32" s="558"/>
      <c r="S32" s="558"/>
      <c r="T32" s="558"/>
      <c r="X32" s="255"/>
      <c r="Y32" s="255"/>
      <c r="Z32" s="255"/>
      <c r="AA32" s="255"/>
      <c r="AB32" s="255"/>
    </row>
    <row r="33" spans="1:35" s="16" customFormat="1" ht="13.5" customHeight="1" x14ac:dyDescent="0.15">
      <c r="C33" s="558" t="str">
        <f>IF(B4="","",B4)</f>
        <v/>
      </c>
      <c r="D33" s="558"/>
      <c r="E33" s="558"/>
      <c r="F33" s="558"/>
      <c r="G33" s="558"/>
      <c r="H33" s="558"/>
      <c r="I33" s="558"/>
      <c r="J33" s="558"/>
      <c r="K33" s="209"/>
      <c r="P33" s="256" t="s">
        <v>161</v>
      </c>
      <c r="W33" s="209"/>
      <c r="X33" s="209"/>
      <c r="Y33" s="209"/>
      <c r="Z33" s="209"/>
      <c r="AA33" s="209"/>
      <c r="AB33" s="209"/>
    </row>
    <row r="34" spans="1:35" s="16" customFormat="1" ht="13.5" customHeight="1" x14ac:dyDescent="0.15">
      <c r="C34" s="482">
        <f>B7</f>
        <v>0</v>
      </c>
      <c r="D34" s="482"/>
      <c r="E34" s="482"/>
      <c r="F34" s="482"/>
      <c r="G34" s="482"/>
      <c r="H34" s="482"/>
      <c r="J34" s="209" t="s">
        <v>72</v>
      </c>
      <c r="K34" s="209"/>
      <c r="W34" s="209"/>
      <c r="X34" s="209"/>
      <c r="Y34" s="209"/>
      <c r="Z34" s="209"/>
      <c r="AA34" s="209"/>
      <c r="AB34" s="209"/>
    </row>
    <row r="35" spans="1:35" s="16" customFormat="1" ht="13.5" customHeight="1" x14ac:dyDescent="0.15">
      <c r="C35" s="482">
        <f>C8</f>
        <v>0</v>
      </c>
      <c r="D35" s="482"/>
      <c r="E35" s="482"/>
      <c r="F35" s="482"/>
      <c r="G35" s="482"/>
      <c r="H35" s="482"/>
      <c r="J35" s="209"/>
      <c r="K35" s="209"/>
      <c r="W35" s="209"/>
      <c r="X35" s="209"/>
      <c r="Y35" s="209"/>
      <c r="Z35" s="209"/>
      <c r="AA35" s="209"/>
      <c r="AB35" s="209"/>
    </row>
    <row r="36" spans="1:35" s="16" customFormat="1" ht="11.25" x14ac:dyDescent="0.15">
      <c r="B36" s="214" t="s">
        <v>139</v>
      </c>
      <c r="I36" s="134"/>
      <c r="J36" s="209"/>
      <c r="K36" s="209"/>
    </row>
    <row r="37" spans="1:35" s="16" customFormat="1" ht="11.25" x14ac:dyDescent="0.15">
      <c r="B37" s="214" t="s">
        <v>140</v>
      </c>
      <c r="C37" s="134"/>
      <c r="D37" s="134"/>
      <c r="E37" s="134"/>
      <c r="F37" s="134"/>
      <c r="G37" s="134"/>
      <c r="H37" s="134"/>
      <c r="I37" s="134"/>
      <c r="J37" s="134"/>
      <c r="K37" s="134"/>
      <c r="W37" s="134" t="s">
        <v>141</v>
      </c>
      <c r="X37" s="499">
        <f>X11</f>
        <v>0</v>
      </c>
      <c r="Y37" s="499"/>
      <c r="Z37" s="134"/>
      <c r="AA37" s="134"/>
      <c r="AB37" s="257"/>
      <c r="AC37" s="257"/>
      <c r="AD37" s="257"/>
      <c r="AE37" s="257"/>
      <c r="AF37" s="257"/>
      <c r="AG37" s="257"/>
      <c r="AH37" s="257"/>
      <c r="AI37" s="257"/>
    </row>
    <row r="38" spans="1:35" s="16" customFormat="1" ht="11.25" x14ac:dyDescent="0.15">
      <c r="B38" s="214" t="s">
        <v>162</v>
      </c>
      <c r="C38" s="214"/>
      <c r="D38" s="209"/>
      <c r="E38" s="209"/>
      <c r="F38" s="209"/>
      <c r="G38" s="209"/>
      <c r="H38" s="209"/>
      <c r="I38" s="209"/>
      <c r="J38" s="209"/>
      <c r="K38" s="209"/>
      <c r="L38" s="209"/>
      <c r="M38" s="209"/>
      <c r="N38" s="209"/>
      <c r="O38" s="209"/>
      <c r="P38" s="209"/>
      <c r="Q38" s="209"/>
      <c r="R38" s="209"/>
      <c r="S38" s="209"/>
      <c r="T38" s="209"/>
      <c r="U38" s="209"/>
      <c r="W38" s="134" t="s">
        <v>74</v>
      </c>
      <c r="X38" s="500">
        <f>X12</f>
        <v>38717</v>
      </c>
      <c r="Y38" s="500"/>
      <c r="Z38" s="135"/>
      <c r="AA38" s="216" t="s">
        <v>75</v>
      </c>
      <c r="AB38" s="257"/>
      <c r="AC38" s="257"/>
      <c r="AD38" s="257"/>
      <c r="AE38" s="257"/>
      <c r="AF38" s="257"/>
      <c r="AG38" s="257"/>
      <c r="AH38" s="257"/>
    </row>
    <row r="39" spans="1:35" s="16" customFormat="1" ht="11.25" x14ac:dyDescent="0.15">
      <c r="B39" s="214"/>
      <c r="C39" s="214"/>
      <c r="D39" s="209"/>
      <c r="E39" s="209"/>
      <c r="F39" s="209"/>
      <c r="G39" s="209"/>
      <c r="H39" s="209"/>
      <c r="I39" s="209"/>
      <c r="J39" s="209"/>
      <c r="K39" s="209"/>
      <c r="L39" s="209"/>
      <c r="M39" s="209"/>
      <c r="N39" s="209"/>
      <c r="O39" s="209"/>
      <c r="P39" s="209"/>
      <c r="Q39" s="209"/>
      <c r="R39" s="209"/>
      <c r="S39" s="209"/>
      <c r="T39" s="209"/>
      <c r="U39" s="209"/>
      <c r="V39" s="209"/>
      <c r="W39" s="209"/>
      <c r="X39" s="209"/>
      <c r="Y39" s="209"/>
      <c r="Z39" s="209"/>
      <c r="AA39" s="209"/>
      <c r="AB39" s="209"/>
    </row>
    <row r="40" spans="1:35" s="16" customFormat="1" ht="9.9499999999999993" customHeight="1" x14ac:dyDescent="0.15">
      <c r="B40" s="134"/>
      <c r="C40" s="134"/>
      <c r="D40" s="134"/>
      <c r="E40" s="134"/>
      <c r="R40" s="257"/>
      <c r="S40" s="257"/>
      <c r="T40" s="257"/>
      <c r="U40" s="257"/>
      <c r="X40" s="134"/>
      <c r="Y40" s="134"/>
      <c r="Z40" s="134"/>
      <c r="AA40" s="134"/>
      <c r="AB40" s="134"/>
    </row>
    <row r="41" spans="1:35" s="136" customFormat="1" ht="10.5" x14ac:dyDescent="0.15">
      <c r="B41" s="470" t="s">
        <v>143</v>
      </c>
      <c r="C41" s="616"/>
      <c r="D41" s="616"/>
      <c r="W41" s="217"/>
      <c r="X41" s="217"/>
      <c r="Y41" s="217"/>
      <c r="Z41" s="217"/>
      <c r="AA41" s="217"/>
    </row>
    <row r="42" spans="1:35" s="134" customFormat="1" ht="11.25" x14ac:dyDescent="0.15">
      <c r="A42" s="610" t="s">
        <v>144</v>
      </c>
      <c r="B42" s="610"/>
      <c r="C42" s="610"/>
      <c r="D42" s="610"/>
      <c r="E42" s="610"/>
      <c r="F42" s="610"/>
      <c r="G42" s="610"/>
      <c r="H42" s="610"/>
      <c r="I42" s="610"/>
      <c r="J42" s="610"/>
      <c r="K42" s="610"/>
      <c r="L42" s="610"/>
      <c r="M42" s="610"/>
      <c r="N42" s="610"/>
      <c r="O42" s="610"/>
      <c r="P42" s="610" t="s">
        <v>145</v>
      </c>
      <c r="Q42" s="610"/>
      <c r="R42" s="610"/>
      <c r="S42" s="610" t="s">
        <v>146</v>
      </c>
      <c r="T42" s="610"/>
      <c r="U42" s="610"/>
      <c r="V42" s="610"/>
      <c r="W42" s="610"/>
      <c r="X42" s="610"/>
      <c r="Y42" s="610"/>
      <c r="Z42" s="610"/>
      <c r="AA42" s="610"/>
    </row>
    <row r="43" spans="1:35" s="134" customFormat="1" ht="11.25" x14ac:dyDescent="0.15">
      <c r="A43" s="610" t="s">
        <v>91</v>
      </c>
      <c r="B43" s="546" t="s">
        <v>163</v>
      </c>
      <c r="C43" s="611"/>
      <c r="D43" s="552" t="s">
        <v>93</v>
      </c>
      <c r="E43" s="614"/>
      <c r="F43" s="610" t="s">
        <v>148</v>
      </c>
      <c r="G43" s="552" t="s">
        <v>94</v>
      </c>
      <c r="H43" s="615"/>
      <c r="I43" s="615"/>
      <c r="J43" s="614"/>
      <c r="K43" s="554" t="s">
        <v>95</v>
      </c>
      <c r="L43" s="611"/>
      <c r="M43" s="546" t="s">
        <v>164</v>
      </c>
      <c r="N43" s="557"/>
      <c r="O43" s="618"/>
      <c r="P43" s="544" t="s">
        <v>150</v>
      </c>
      <c r="Q43" s="544" t="s">
        <v>94</v>
      </c>
      <c r="R43" s="544" t="s">
        <v>95</v>
      </c>
      <c r="S43" s="546" t="s">
        <v>151</v>
      </c>
      <c r="T43" s="618"/>
      <c r="U43" s="544" t="s">
        <v>152</v>
      </c>
      <c r="V43" s="544" t="s">
        <v>153</v>
      </c>
      <c r="W43" s="617" t="s">
        <v>100</v>
      </c>
      <c r="X43" s="617" t="s">
        <v>101</v>
      </c>
      <c r="Y43" s="546" t="s">
        <v>154</v>
      </c>
      <c r="Z43" s="557"/>
      <c r="AA43" s="618"/>
    </row>
    <row r="44" spans="1:35" s="134" customFormat="1" ht="11.25" x14ac:dyDescent="0.15">
      <c r="A44" s="610"/>
      <c r="B44" s="612"/>
      <c r="C44" s="613"/>
      <c r="D44" s="552"/>
      <c r="E44" s="614"/>
      <c r="F44" s="610"/>
      <c r="G44" s="552" t="s">
        <v>19</v>
      </c>
      <c r="H44" s="614"/>
      <c r="I44" s="552" t="s">
        <v>20</v>
      </c>
      <c r="J44" s="614"/>
      <c r="K44" s="612"/>
      <c r="L44" s="613"/>
      <c r="M44" s="619"/>
      <c r="N44" s="620"/>
      <c r="O44" s="621"/>
      <c r="P44" s="601"/>
      <c r="Q44" s="601"/>
      <c r="R44" s="601"/>
      <c r="S44" s="619"/>
      <c r="T44" s="621"/>
      <c r="U44" s="601"/>
      <c r="V44" s="601"/>
      <c r="W44" s="617"/>
      <c r="X44" s="617"/>
      <c r="Y44" s="619"/>
      <c r="Z44" s="620"/>
      <c r="AA44" s="621"/>
    </row>
    <row r="45" spans="1:35" s="16" customFormat="1" ht="26.1" customHeight="1" x14ac:dyDescent="0.15">
      <c r="A45" s="258" t="str">
        <f t="shared" ref="A45:B50" si="0">IF(A19="","",A19)</f>
        <v/>
      </c>
      <c r="B45" s="658" t="str">
        <f t="shared" si="0"/>
        <v/>
      </c>
      <c r="C45" s="659"/>
      <c r="D45" s="660" t="str">
        <f t="shared" ref="D45:D50" si="1">IF(D19="","",D19)</f>
        <v/>
      </c>
      <c r="E45" s="660"/>
      <c r="F45" s="259" t="str">
        <f t="shared" ref="F45:G50" si="2">IF(F19="","",F19)</f>
        <v/>
      </c>
      <c r="G45" s="607" t="str">
        <f t="shared" si="2"/>
        <v/>
      </c>
      <c r="H45" s="607"/>
      <c r="I45" s="607" t="str">
        <f t="shared" ref="I45:I51" si="3">IF(I19="","",I19)</f>
        <v/>
      </c>
      <c r="J45" s="607"/>
      <c r="K45" s="608" t="str">
        <f t="shared" ref="K45:K50" si="4">IF(K19="","",K19)</f>
        <v/>
      </c>
      <c r="L45" s="608"/>
      <c r="M45" s="609" t="str">
        <f t="shared" ref="M45:M50" si="5">IF(M19="","",M19)</f>
        <v/>
      </c>
      <c r="N45" s="609"/>
      <c r="O45" s="609"/>
      <c r="P45" s="269" t="str">
        <f t="shared" ref="P45:S50" si="6">IF(P19="","",P19)</f>
        <v/>
      </c>
      <c r="Q45" s="221" t="str">
        <f t="shared" si="6"/>
        <v/>
      </c>
      <c r="R45" s="222" t="str">
        <f t="shared" si="6"/>
        <v/>
      </c>
      <c r="S45" s="602" t="str">
        <f t="shared" si="6"/>
        <v/>
      </c>
      <c r="T45" s="602"/>
      <c r="U45" s="223" t="str">
        <f t="shared" ref="U45:Y51" si="7">IF(U19="","",U19)</f>
        <v/>
      </c>
      <c r="V45" s="224" t="str">
        <f t="shared" si="7"/>
        <v/>
      </c>
      <c r="W45" s="224" t="str">
        <f t="shared" si="7"/>
        <v/>
      </c>
      <c r="X45" s="224" t="str">
        <f t="shared" si="7"/>
        <v/>
      </c>
      <c r="Y45" s="537" t="str">
        <f t="shared" si="7"/>
        <v/>
      </c>
      <c r="Z45" s="538"/>
      <c r="AA45" s="603"/>
    </row>
    <row r="46" spans="1:35" s="16" customFormat="1" ht="26.1" customHeight="1" x14ac:dyDescent="0.15">
      <c r="A46" s="260" t="str">
        <f t="shared" si="0"/>
        <v/>
      </c>
      <c r="B46" s="655" t="str">
        <f t="shared" si="0"/>
        <v/>
      </c>
      <c r="C46" s="656"/>
      <c r="D46" s="657" t="str">
        <f t="shared" si="1"/>
        <v/>
      </c>
      <c r="E46" s="657"/>
      <c r="F46" s="228" t="str">
        <f t="shared" si="2"/>
        <v/>
      </c>
      <c r="G46" s="598" t="str">
        <f t="shared" si="2"/>
        <v/>
      </c>
      <c r="H46" s="598"/>
      <c r="I46" s="598" t="str">
        <f t="shared" si="3"/>
        <v/>
      </c>
      <c r="J46" s="598"/>
      <c r="K46" s="599" t="str">
        <f t="shared" si="4"/>
        <v/>
      </c>
      <c r="L46" s="599"/>
      <c r="M46" s="600" t="str">
        <f t="shared" si="5"/>
        <v/>
      </c>
      <c r="N46" s="600"/>
      <c r="O46" s="600"/>
      <c r="P46" s="270" t="str">
        <f t="shared" si="6"/>
        <v/>
      </c>
      <c r="Q46" s="233" t="str">
        <f t="shared" si="6"/>
        <v/>
      </c>
      <c r="R46" s="234" t="str">
        <f t="shared" si="6"/>
        <v/>
      </c>
      <c r="S46" s="587" t="str">
        <f t="shared" si="6"/>
        <v/>
      </c>
      <c r="T46" s="587"/>
      <c r="U46" s="235" t="str">
        <f t="shared" si="7"/>
        <v/>
      </c>
      <c r="V46" s="236" t="str">
        <f t="shared" si="7"/>
        <v/>
      </c>
      <c r="W46" s="236" t="str">
        <f t="shared" si="7"/>
        <v/>
      </c>
      <c r="X46" s="236" t="str">
        <f t="shared" si="7"/>
        <v/>
      </c>
      <c r="Y46" s="515" t="str">
        <f t="shared" si="7"/>
        <v/>
      </c>
      <c r="Z46" s="516"/>
      <c r="AA46" s="575"/>
    </row>
    <row r="47" spans="1:35" s="16" customFormat="1" ht="26.1" customHeight="1" x14ac:dyDescent="0.15">
      <c r="A47" s="260" t="str">
        <f t="shared" si="0"/>
        <v/>
      </c>
      <c r="B47" s="655" t="str">
        <f t="shared" si="0"/>
        <v/>
      </c>
      <c r="C47" s="656"/>
      <c r="D47" s="657" t="str">
        <f t="shared" si="1"/>
        <v/>
      </c>
      <c r="E47" s="657"/>
      <c r="F47" s="228" t="str">
        <f t="shared" si="2"/>
        <v/>
      </c>
      <c r="G47" s="598" t="str">
        <f t="shared" si="2"/>
        <v/>
      </c>
      <c r="H47" s="598"/>
      <c r="I47" s="598" t="str">
        <f t="shared" si="3"/>
        <v/>
      </c>
      <c r="J47" s="598"/>
      <c r="K47" s="599" t="str">
        <f t="shared" si="4"/>
        <v/>
      </c>
      <c r="L47" s="599"/>
      <c r="M47" s="600" t="str">
        <f t="shared" si="5"/>
        <v/>
      </c>
      <c r="N47" s="600"/>
      <c r="O47" s="600"/>
      <c r="P47" s="270" t="str">
        <f t="shared" si="6"/>
        <v/>
      </c>
      <c r="Q47" s="233" t="str">
        <f t="shared" si="6"/>
        <v/>
      </c>
      <c r="R47" s="234" t="str">
        <f t="shared" si="6"/>
        <v/>
      </c>
      <c r="S47" s="587" t="str">
        <f t="shared" si="6"/>
        <v/>
      </c>
      <c r="T47" s="587"/>
      <c r="U47" s="235" t="str">
        <f t="shared" si="7"/>
        <v/>
      </c>
      <c r="V47" s="236" t="str">
        <f t="shared" si="7"/>
        <v/>
      </c>
      <c r="W47" s="236" t="str">
        <f t="shared" si="7"/>
        <v/>
      </c>
      <c r="X47" s="236" t="str">
        <f t="shared" si="7"/>
        <v/>
      </c>
      <c r="Y47" s="515" t="str">
        <f t="shared" si="7"/>
        <v/>
      </c>
      <c r="Z47" s="516"/>
      <c r="AA47" s="575"/>
    </row>
    <row r="48" spans="1:35" s="16" customFormat="1" ht="26.1" customHeight="1" x14ac:dyDescent="0.15">
      <c r="A48" s="260" t="str">
        <f t="shared" si="0"/>
        <v/>
      </c>
      <c r="B48" s="655" t="str">
        <f t="shared" si="0"/>
        <v/>
      </c>
      <c r="C48" s="656"/>
      <c r="D48" s="657" t="str">
        <f t="shared" si="1"/>
        <v/>
      </c>
      <c r="E48" s="657"/>
      <c r="F48" s="228" t="str">
        <f t="shared" si="2"/>
        <v/>
      </c>
      <c r="G48" s="598" t="str">
        <f t="shared" si="2"/>
        <v/>
      </c>
      <c r="H48" s="598"/>
      <c r="I48" s="598" t="str">
        <f t="shared" si="3"/>
        <v/>
      </c>
      <c r="J48" s="598"/>
      <c r="K48" s="599" t="str">
        <f t="shared" si="4"/>
        <v/>
      </c>
      <c r="L48" s="599"/>
      <c r="M48" s="600" t="str">
        <f t="shared" si="5"/>
        <v/>
      </c>
      <c r="N48" s="600"/>
      <c r="O48" s="600"/>
      <c r="P48" s="270" t="str">
        <f t="shared" si="6"/>
        <v/>
      </c>
      <c r="Q48" s="233" t="str">
        <f t="shared" si="6"/>
        <v/>
      </c>
      <c r="R48" s="234" t="str">
        <f t="shared" si="6"/>
        <v/>
      </c>
      <c r="S48" s="587" t="str">
        <f t="shared" si="6"/>
        <v/>
      </c>
      <c r="T48" s="587"/>
      <c r="U48" s="235" t="str">
        <f t="shared" si="7"/>
        <v/>
      </c>
      <c r="V48" s="236" t="str">
        <f t="shared" si="7"/>
        <v/>
      </c>
      <c r="W48" s="236" t="str">
        <f t="shared" si="7"/>
        <v/>
      </c>
      <c r="X48" s="236" t="str">
        <f t="shared" si="7"/>
        <v/>
      </c>
      <c r="Y48" s="515" t="str">
        <f t="shared" si="7"/>
        <v/>
      </c>
      <c r="Z48" s="516"/>
      <c r="AA48" s="575"/>
    </row>
    <row r="49" spans="1:35" s="134" customFormat="1" ht="26.1" customHeight="1" x14ac:dyDescent="0.15">
      <c r="A49" s="260" t="str">
        <f t="shared" si="0"/>
        <v/>
      </c>
      <c r="B49" s="655" t="str">
        <f t="shared" si="0"/>
        <v/>
      </c>
      <c r="C49" s="656"/>
      <c r="D49" s="657" t="str">
        <f t="shared" si="1"/>
        <v/>
      </c>
      <c r="E49" s="657"/>
      <c r="F49" s="228" t="str">
        <f t="shared" si="2"/>
        <v/>
      </c>
      <c r="G49" s="598" t="str">
        <f t="shared" si="2"/>
        <v/>
      </c>
      <c r="H49" s="598"/>
      <c r="I49" s="598" t="str">
        <f t="shared" si="3"/>
        <v/>
      </c>
      <c r="J49" s="598"/>
      <c r="K49" s="599" t="str">
        <f t="shared" si="4"/>
        <v/>
      </c>
      <c r="L49" s="599"/>
      <c r="M49" s="600" t="str">
        <f t="shared" si="5"/>
        <v/>
      </c>
      <c r="N49" s="600"/>
      <c r="O49" s="600"/>
      <c r="P49" s="270" t="str">
        <f t="shared" si="6"/>
        <v/>
      </c>
      <c r="Q49" s="233" t="str">
        <f t="shared" si="6"/>
        <v/>
      </c>
      <c r="R49" s="234" t="str">
        <f t="shared" si="6"/>
        <v/>
      </c>
      <c r="S49" s="587" t="str">
        <f t="shared" si="6"/>
        <v/>
      </c>
      <c r="T49" s="587"/>
      <c r="U49" s="235" t="str">
        <f t="shared" si="7"/>
        <v/>
      </c>
      <c r="V49" s="236" t="str">
        <f t="shared" si="7"/>
        <v/>
      </c>
      <c r="W49" s="236" t="str">
        <f t="shared" si="7"/>
        <v/>
      </c>
      <c r="X49" s="236" t="str">
        <f t="shared" si="7"/>
        <v/>
      </c>
      <c r="Y49" s="515" t="str">
        <f t="shared" si="7"/>
        <v/>
      </c>
      <c r="Z49" s="516"/>
      <c r="AA49" s="575"/>
    </row>
    <row r="50" spans="1:35" s="16" customFormat="1" ht="26.1" customHeight="1" x14ac:dyDescent="0.15">
      <c r="A50" s="263" t="str">
        <f t="shared" si="0"/>
        <v/>
      </c>
      <c r="B50" s="652" t="str">
        <f t="shared" si="0"/>
        <v/>
      </c>
      <c r="C50" s="653"/>
      <c r="D50" s="654" t="str">
        <f t="shared" si="1"/>
        <v/>
      </c>
      <c r="E50" s="654"/>
      <c r="F50" s="243" t="str">
        <f t="shared" si="2"/>
        <v/>
      </c>
      <c r="G50" s="591" t="str">
        <f t="shared" si="2"/>
        <v/>
      </c>
      <c r="H50" s="591"/>
      <c r="I50" s="591" t="str">
        <f t="shared" si="3"/>
        <v/>
      </c>
      <c r="J50" s="591"/>
      <c r="K50" s="592" t="str">
        <f t="shared" si="4"/>
        <v/>
      </c>
      <c r="L50" s="592"/>
      <c r="M50" s="593" t="str">
        <f t="shared" si="5"/>
        <v/>
      </c>
      <c r="N50" s="593"/>
      <c r="O50" s="593"/>
      <c r="P50" s="271" t="str">
        <f t="shared" si="6"/>
        <v/>
      </c>
      <c r="Q50" s="245" t="str">
        <f t="shared" si="6"/>
        <v/>
      </c>
      <c r="R50" s="246" t="str">
        <f t="shared" si="6"/>
        <v/>
      </c>
      <c r="S50" s="594" t="str">
        <f t="shared" si="6"/>
        <v/>
      </c>
      <c r="T50" s="594"/>
      <c r="U50" s="247" t="str">
        <f t="shared" si="7"/>
        <v/>
      </c>
      <c r="V50" s="248" t="str">
        <f t="shared" si="7"/>
        <v/>
      </c>
      <c r="W50" s="248" t="str">
        <f t="shared" si="7"/>
        <v/>
      </c>
      <c r="X50" s="248" t="str">
        <f t="shared" si="7"/>
        <v/>
      </c>
      <c r="Y50" s="524" t="str">
        <f t="shared" si="7"/>
        <v/>
      </c>
      <c r="Z50" s="525"/>
      <c r="AA50" s="595"/>
    </row>
    <row r="51" spans="1:35" s="16" customFormat="1" x14ac:dyDescent="0.15">
      <c r="A51" s="649" t="s">
        <v>157</v>
      </c>
      <c r="B51" s="650"/>
      <c r="C51" s="650"/>
      <c r="D51" s="650"/>
      <c r="E51" s="650"/>
      <c r="F51" s="651"/>
      <c r="G51" s="583">
        <f>IF(G25="","",G25)</f>
        <v>0</v>
      </c>
      <c r="H51" s="583"/>
      <c r="I51" s="583">
        <f t="shared" si="3"/>
        <v>0</v>
      </c>
      <c r="J51" s="583"/>
      <c r="K51" s="264"/>
      <c r="L51" s="265"/>
      <c r="M51" s="265"/>
      <c r="N51" s="265"/>
      <c r="O51" s="265"/>
      <c r="P51" s="265"/>
      <c r="Q51" s="265"/>
      <c r="R51" s="265"/>
      <c r="S51" s="265"/>
      <c r="T51" s="266"/>
      <c r="U51" s="252"/>
      <c r="V51" s="272">
        <f t="shared" si="7"/>
        <v>0</v>
      </c>
      <c r="W51" s="272">
        <f t="shared" si="7"/>
        <v>0</v>
      </c>
      <c r="X51" s="272">
        <f t="shared" si="7"/>
        <v>0</v>
      </c>
      <c r="Y51" s="584">
        <f t="shared" si="7"/>
        <v>0</v>
      </c>
      <c r="Z51" s="585"/>
      <c r="AA51" s="586"/>
    </row>
    <row r="52" spans="1:35" s="16" customFormat="1" ht="11.25" x14ac:dyDescent="0.15">
      <c r="B52" s="209" t="s">
        <v>158</v>
      </c>
      <c r="D52" s="209"/>
      <c r="F52" s="134"/>
      <c r="G52" s="134"/>
      <c r="H52" s="134"/>
      <c r="I52" s="134"/>
      <c r="J52" s="209"/>
      <c r="K52" s="209"/>
      <c r="M52" s="209"/>
      <c r="N52" s="209"/>
      <c r="O52" s="209"/>
      <c r="P52" s="209"/>
      <c r="Q52" s="209"/>
      <c r="R52" s="209"/>
      <c r="S52" s="209"/>
      <c r="T52" s="209"/>
      <c r="U52" s="209"/>
      <c r="V52" s="209"/>
      <c r="W52" s="209"/>
      <c r="X52" s="209"/>
      <c r="Y52" s="209"/>
      <c r="Z52" s="209"/>
      <c r="AA52" s="209"/>
      <c r="AB52" s="209"/>
    </row>
    <row r="53" spans="1:35" s="16" customFormat="1" ht="11.25" x14ac:dyDescent="0.15">
      <c r="B53" s="16" t="s">
        <v>105</v>
      </c>
      <c r="C53" s="273"/>
      <c r="E53" s="134"/>
      <c r="F53" s="134"/>
      <c r="G53" s="134"/>
      <c r="H53" s="134"/>
      <c r="I53" s="134"/>
      <c r="T53" s="435"/>
      <c r="U53" s="435"/>
      <c r="V53" s="435"/>
      <c r="W53" s="435"/>
      <c r="X53" s="435"/>
      <c r="Y53" s="435"/>
      <c r="Z53" s="435"/>
      <c r="AA53" s="435"/>
    </row>
    <row r="54" spans="1:35" ht="13.5" customHeight="1" x14ac:dyDescent="0.1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129"/>
      <c r="AC54" s="129"/>
      <c r="AD54" s="129"/>
      <c r="AE54" s="129"/>
    </row>
    <row r="55" spans="1:35" ht="13.5" customHeight="1" x14ac:dyDescent="0.15">
      <c r="C55" s="648"/>
      <c r="D55" s="648"/>
      <c r="E55" s="648"/>
      <c r="F55" s="648"/>
      <c r="G55" s="648"/>
      <c r="H55" s="648"/>
      <c r="I55" s="648"/>
      <c r="J55" s="648"/>
      <c r="K55" s="130"/>
      <c r="W55" s="209"/>
      <c r="X55" s="209"/>
      <c r="Y55" s="209"/>
      <c r="Z55" s="209"/>
      <c r="AA55" s="577" t="s">
        <v>160</v>
      </c>
      <c r="AB55" s="209"/>
    </row>
    <row r="56" spans="1:35" ht="13.5" customHeight="1" x14ac:dyDescent="0.15">
      <c r="C56" s="648"/>
      <c r="D56" s="648"/>
      <c r="E56" s="648"/>
      <c r="F56" s="648"/>
      <c r="G56" s="648"/>
      <c r="H56" s="648"/>
      <c r="I56" s="648"/>
      <c r="J56" s="648"/>
      <c r="K56" s="130"/>
      <c r="T56" s="209"/>
      <c r="U56" s="209"/>
      <c r="V56" s="209"/>
      <c r="W56" s="209"/>
      <c r="X56" s="209"/>
      <c r="Y56" s="209"/>
      <c r="Z56" s="209"/>
      <c r="AA56" s="577"/>
      <c r="AB56" s="209"/>
    </row>
    <row r="57" spans="1:35" ht="13.5" customHeight="1" x14ac:dyDescent="0.15">
      <c r="C57" s="648"/>
      <c r="D57" s="648"/>
      <c r="E57" s="648"/>
      <c r="F57" s="648"/>
      <c r="G57" s="648"/>
      <c r="H57" s="648"/>
      <c r="I57" s="648"/>
      <c r="J57" s="648"/>
      <c r="K57" s="130"/>
      <c r="X57" s="211"/>
      <c r="Y57" s="211"/>
      <c r="Z57" s="211"/>
      <c r="AA57" s="211"/>
      <c r="AB57" s="211"/>
    </row>
    <row r="58" spans="1:35" ht="13.5" customHeight="1" x14ac:dyDescent="0.15">
      <c r="C58" s="648"/>
      <c r="D58" s="648"/>
      <c r="E58" s="648"/>
      <c r="F58" s="648"/>
      <c r="G58" s="648"/>
      <c r="H58" s="648"/>
      <c r="I58" s="648"/>
      <c r="J58" s="648"/>
      <c r="K58" s="130"/>
      <c r="W58" s="209"/>
      <c r="X58" s="209"/>
      <c r="Y58" s="209"/>
      <c r="Z58" s="209"/>
      <c r="AA58" s="209"/>
      <c r="AB58" s="209"/>
    </row>
    <row r="59" spans="1:35" ht="13.5" customHeight="1" x14ac:dyDescent="0.15">
      <c r="C59" s="648"/>
      <c r="D59" s="648"/>
      <c r="E59" s="648"/>
      <c r="F59" s="648"/>
      <c r="G59" s="648"/>
      <c r="H59" s="648"/>
      <c r="I59" s="648"/>
      <c r="J59" s="648"/>
      <c r="K59" s="130"/>
      <c r="W59" s="209"/>
      <c r="X59" s="209"/>
      <c r="Y59" s="209"/>
      <c r="Z59" s="209"/>
      <c r="AA59" s="209"/>
      <c r="AB59" s="209"/>
    </row>
    <row r="60" spans="1:35" ht="18.75" customHeight="1" x14ac:dyDescent="0.15">
      <c r="C60" s="645"/>
      <c r="D60" s="645"/>
      <c r="E60" s="645"/>
      <c r="F60" s="645"/>
      <c r="G60" s="645"/>
      <c r="H60" s="645"/>
      <c r="I60" s="645"/>
      <c r="J60" s="274" t="s">
        <v>72</v>
      </c>
      <c r="K60" s="132"/>
      <c r="P60" s="267" t="s">
        <v>161</v>
      </c>
    </row>
    <row r="61" spans="1:35" ht="14.25" x14ac:dyDescent="0.15">
      <c r="C61" s="646"/>
      <c r="D61" s="646"/>
      <c r="E61" s="646"/>
      <c r="F61" s="646"/>
      <c r="G61" s="646"/>
      <c r="H61" s="646"/>
      <c r="I61" s="9"/>
      <c r="J61" s="130"/>
      <c r="K61" s="130"/>
    </row>
    <row r="62" spans="1:35" ht="42.95" customHeight="1" x14ac:dyDescent="0.15">
      <c r="C62" s="9"/>
      <c r="D62" s="9"/>
      <c r="E62" s="9"/>
      <c r="F62" s="9"/>
      <c r="G62" s="9"/>
      <c r="H62" s="9"/>
      <c r="I62" s="9"/>
      <c r="J62" s="130"/>
      <c r="K62" s="130"/>
    </row>
    <row r="63" spans="1:35" s="16" customFormat="1" ht="11.25" x14ac:dyDescent="0.15">
      <c r="B63" s="214" t="s">
        <v>139</v>
      </c>
      <c r="C63" s="214"/>
      <c r="D63" s="209"/>
      <c r="E63" s="209"/>
      <c r="F63" s="209"/>
      <c r="G63" s="209"/>
      <c r="H63" s="209"/>
      <c r="I63" s="209"/>
      <c r="J63" s="209"/>
      <c r="K63" s="209"/>
      <c r="L63" s="209"/>
      <c r="M63" s="209"/>
      <c r="N63" s="209"/>
      <c r="O63" s="209"/>
      <c r="P63" s="209"/>
      <c r="Q63" s="209"/>
      <c r="R63" s="209"/>
      <c r="S63" s="209"/>
      <c r="T63" s="209"/>
      <c r="U63" s="209"/>
      <c r="V63" s="209"/>
      <c r="W63" s="209"/>
      <c r="X63" s="209"/>
      <c r="Y63" s="209"/>
      <c r="Z63" s="209"/>
      <c r="AA63" s="209"/>
      <c r="AB63" s="209"/>
    </row>
    <row r="64" spans="1:35" s="16" customFormat="1" ht="14.25" x14ac:dyDescent="0.15">
      <c r="B64" s="214" t="s">
        <v>140</v>
      </c>
      <c r="C64" s="214"/>
      <c r="D64" s="209"/>
      <c r="E64" s="209"/>
      <c r="F64" s="209"/>
      <c r="G64" s="209"/>
      <c r="H64" s="209"/>
      <c r="I64" s="209"/>
      <c r="J64" s="209"/>
      <c r="K64" s="209"/>
      <c r="L64" s="209"/>
      <c r="M64" s="209"/>
      <c r="N64" s="209"/>
      <c r="O64" s="209"/>
      <c r="P64" s="209"/>
      <c r="Q64" s="209"/>
      <c r="R64" s="209"/>
      <c r="S64" s="209"/>
      <c r="T64" s="209"/>
      <c r="U64" s="209"/>
      <c r="V64" s="209"/>
      <c r="W64" s="134" t="s">
        <v>141</v>
      </c>
      <c r="X64" s="499"/>
      <c r="Y64" s="499"/>
      <c r="Z64" s="134"/>
      <c r="AA64" s="134"/>
      <c r="AB64" s="141"/>
      <c r="AC64" s="141"/>
      <c r="AD64" s="141"/>
      <c r="AE64" s="141"/>
      <c r="AF64" s="141"/>
      <c r="AG64" s="141"/>
      <c r="AH64" s="141"/>
      <c r="AI64" s="141"/>
    </row>
    <row r="65" spans="1:34" s="16" customFormat="1" ht="14.25" x14ac:dyDescent="0.15">
      <c r="B65" s="214" t="s">
        <v>162</v>
      </c>
      <c r="C65" s="214"/>
      <c r="D65" s="209"/>
      <c r="E65" s="209"/>
      <c r="F65" s="209"/>
      <c r="G65" s="209"/>
      <c r="H65" s="209"/>
      <c r="I65" s="209"/>
      <c r="J65" s="209"/>
      <c r="K65" s="209"/>
      <c r="L65" s="209"/>
      <c r="M65" s="209"/>
      <c r="N65" s="209"/>
      <c r="O65" s="209"/>
      <c r="P65" s="209"/>
      <c r="Q65" s="209"/>
      <c r="R65" s="209"/>
      <c r="S65" s="209"/>
      <c r="T65" s="209"/>
      <c r="U65" s="209"/>
      <c r="V65" s="209"/>
      <c r="W65" s="134" t="s">
        <v>74</v>
      </c>
      <c r="X65" s="500"/>
      <c r="Y65" s="500"/>
      <c r="Z65" s="135"/>
      <c r="AA65" s="216" t="s">
        <v>75</v>
      </c>
      <c r="AB65" s="141"/>
      <c r="AC65" s="141"/>
      <c r="AD65" s="141"/>
      <c r="AE65" s="141"/>
      <c r="AF65" s="141"/>
      <c r="AG65" s="141"/>
      <c r="AH65" s="141"/>
    </row>
    <row r="66" spans="1:34" s="16" customFormat="1" ht="11.25" x14ac:dyDescent="0.15">
      <c r="B66" s="214"/>
      <c r="C66" s="214"/>
      <c r="D66" s="209"/>
      <c r="E66" s="209"/>
      <c r="F66" s="209"/>
      <c r="G66" s="209"/>
      <c r="H66" s="209"/>
      <c r="I66" s="209"/>
      <c r="J66" s="209"/>
      <c r="K66" s="209"/>
      <c r="L66" s="209"/>
      <c r="M66" s="209"/>
      <c r="N66" s="209"/>
      <c r="O66" s="209"/>
      <c r="P66" s="209"/>
      <c r="Q66" s="209"/>
      <c r="R66" s="209"/>
      <c r="S66" s="209"/>
      <c r="T66" s="209"/>
      <c r="U66" s="209"/>
      <c r="V66" s="209"/>
      <c r="W66" s="209"/>
      <c r="X66" s="209"/>
      <c r="Y66" s="209"/>
      <c r="Z66" s="209"/>
      <c r="AA66" s="209"/>
      <c r="AB66" s="209"/>
    </row>
    <row r="67" spans="1:34" s="9" customFormat="1" ht="6.75" customHeight="1" x14ac:dyDescent="0.15">
      <c r="B67" s="200"/>
      <c r="C67" s="200"/>
      <c r="D67" s="200"/>
      <c r="E67" s="200"/>
      <c r="F67" s="200"/>
      <c r="G67" s="200"/>
      <c r="H67" s="200"/>
      <c r="I67" s="200"/>
      <c r="J67" s="200"/>
      <c r="K67" s="200"/>
      <c r="L67" s="200"/>
      <c r="M67" s="200"/>
      <c r="N67" s="200"/>
      <c r="O67" s="200"/>
      <c r="P67" s="200"/>
      <c r="Q67" s="200"/>
      <c r="R67" s="200"/>
      <c r="S67" s="200"/>
      <c r="T67" s="200"/>
      <c r="U67" s="200"/>
      <c r="V67" s="200"/>
      <c r="W67" s="200"/>
      <c r="X67" s="200"/>
      <c r="Y67" s="200"/>
      <c r="Z67" s="200"/>
      <c r="AA67" s="200"/>
      <c r="AB67" s="200"/>
    </row>
    <row r="68" spans="1:34" s="9" customFormat="1" x14ac:dyDescent="0.15">
      <c r="A68" s="143"/>
      <c r="B68" s="647" t="s">
        <v>143</v>
      </c>
      <c r="C68" s="647"/>
      <c r="D68" s="647"/>
      <c r="E68" s="143"/>
      <c r="F68" s="143"/>
      <c r="G68" s="143"/>
      <c r="H68" s="143"/>
      <c r="I68" s="143"/>
      <c r="J68" s="143"/>
      <c r="K68" s="143"/>
      <c r="L68" s="143"/>
      <c r="M68" s="143"/>
      <c r="N68" s="143"/>
      <c r="O68" s="143"/>
      <c r="P68" s="143"/>
      <c r="Q68" s="143"/>
      <c r="R68" s="143"/>
      <c r="S68" s="143"/>
      <c r="T68" s="143"/>
      <c r="U68" s="143"/>
      <c r="V68" s="143"/>
      <c r="W68" s="217"/>
      <c r="X68" s="217"/>
      <c r="Y68" s="217"/>
      <c r="Z68" s="217"/>
      <c r="AA68" s="217"/>
      <c r="AB68" s="143"/>
    </row>
    <row r="69" spans="1:34" s="134" customFormat="1" ht="11.25" x14ac:dyDescent="0.15">
      <c r="A69" s="610" t="s">
        <v>144</v>
      </c>
      <c r="B69" s="610"/>
      <c r="C69" s="610"/>
      <c r="D69" s="610"/>
      <c r="E69" s="610"/>
      <c r="F69" s="610"/>
      <c r="G69" s="610"/>
      <c r="H69" s="610"/>
      <c r="I69" s="610"/>
      <c r="J69" s="610"/>
      <c r="K69" s="610"/>
      <c r="L69" s="610"/>
      <c r="M69" s="610"/>
      <c r="N69" s="610"/>
      <c r="O69" s="610"/>
      <c r="P69" s="610" t="s">
        <v>145</v>
      </c>
      <c r="Q69" s="610"/>
      <c r="R69" s="610"/>
      <c r="S69" s="610" t="s">
        <v>146</v>
      </c>
      <c r="T69" s="610"/>
      <c r="U69" s="610"/>
      <c r="V69" s="610"/>
      <c r="W69" s="610"/>
      <c r="X69" s="610"/>
      <c r="Y69" s="610"/>
      <c r="Z69" s="610"/>
      <c r="AA69" s="610"/>
    </row>
    <row r="70" spans="1:34" s="134" customFormat="1" ht="13.5" customHeight="1" x14ac:dyDescent="0.15">
      <c r="A70" s="610" t="s">
        <v>91</v>
      </c>
      <c r="B70" s="546" t="s">
        <v>163</v>
      </c>
      <c r="C70" s="611"/>
      <c r="D70" s="552" t="s">
        <v>93</v>
      </c>
      <c r="E70" s="614"/>
      <c r="F70" s="610" t="s">
        <v>148</v>
      </c>
      <c r="G70" s="552" t="s">
        <v>94</v>
      </c>
      <c r="H70" s="615"/>
      <c r="I70" s="615"/>
      <c r="J70" s="614"/>
      <c r="K70" s="554" t="s">
        <v>95</v>
      </c>
      <c r="L70" s="611"/>
      <c r="M70" s="546" t="s">
        <v>149</v>
      </c>
      <c r="N70" s="557"/>
      <c r="O70" s="618"/>
      <c r="P70" s="617" t="s">
        <v>150</v>
      </c>
      <c r="Q70" s="617" t="s">
        <v>94</v>
      </c>
      <c r="R70" s="617" t="s">
        <v>95</v>
      </c>
      <c r="S70" s="546" t="s">
        <v>151</v>
      </c>
      <c r="T70" s="618"/>
      <c r="U70" s="544" t="s">
        <v>152</v>
      </c>
      <c r="V70" s="544" t="s">
        <v>153</v>
      </c>
      <c r="W70" s="617" t="s">
        <v>100</v>
      </c>
      <c r="X70" s="617" t="s">
        <v>101</v>
      </c>
      <c r="Y70" s="546" t="s">
        <v>154</v>
      </c>
      <c r="Z70" s="557"/>
      <c r="AA70" s="618"/>
    </row>
    <row r="71" spans="1:34" s="134" customFormat="1" ht="11.25" x14ac:dyDescent="0.15">
      <c r="A71" s="610"/>
      <c r="B71" s="612"/>
      <c r="C71" s="613"/>
      <c r="D71" s="552"/>
      <c r="E71" s="614"/>
      <c r="F71" s="610"/>
      <c r="G71" s="552" t="s">
        <v>19</v>
      </c>
      <c r="H71" s="614"/>
      <c r="I71" s="552" t="s">
        <v>20</v>
      </c>
      <c r="J71" s="614"/>
      <c r="K71" s="612"/>
      <c r="L71" s="613"/>
      <c r="M71" s="619"/>
      <c r="N71" s="620"/>
      <c r="O71" s="621"/>
      <c r="P71" s="617"/>
      <c r="Q71" s="617"/>
      <c r="R71" s="617"/>
      <c r="S71" s="619"/>
      <c r="T71" s="621"/>
      <c r="U71" s="601"/>
      <c r="V71" s="601"/>
      <c r="W71" s="617"/>
      <c r="X71" s="617"/>
      <c r="Y71" s="619"/>
      <c r="Z71" s="620"/>
      <c r="AA71" s="621"/>
    </row>
    <row r="72" spans="1:34" s="16" customFormat="1" ht="26.1" customHeight="1" x14ac:dyDescent="0.15">
      <c r="A72" s="218"/>
      <c r="B72" s="540"/>
      <c r="C72" s="604"/>
      <c r="D72" s="605"/>
      <c r="E72" s="606"/>
      <c r="F72" s="219"/>
      <c r="G72" s="576"/>
      <c r="H72" s="604"/>
      <c r="I72" s="576"/>
      <c r="J72" s="604"/>
      <c r="K72" s="543"/>
      <c r="L72" s="642"/>
      <c r="M72" s="550"/>
      <c r="N72" s="643"/>
      <c r="O72" s="644"/>
      <c r="P72" s="269"/>
      <c r="Q72" s="221"/>
      <c r="R72" s="222"/>
      <c r="S72" s="640"/>
      <c r="T72" s="641"/>
      <c r="U72" s="223"/>
      <c r="V72" s="224"/>
      <c r="W72" s="224"/>
      <c r="X72" s="224"/>
      <c r="Y72" s="537"/>
      <c r="Z72" s="538"/>
      <c r="AA72" s="603"/>
    </row>
    <row r="73" spans="1:34" s="16" customFormat="1" ht="26.1" customHeight="1" x14ac:dyDescent="0.15">
      <c r="A73" s="225"/>
      <c r="B73" s="568"/>
      <c r="C73" s="569"/>
      <c r="D73" s="596"/>
      <c r="E73" s="597"/>
      <c r="F73" s="228"/>
      <c r="G73" s="567"/>
      <c r="H73" s="571"/>
      <c r="I73" s="567"/>
      <c r="J73" s="571"/>
      <c r="K73" s="529"/>
      <c r="L73" s="572"/>
      <c r="M73" s="513"/>
      <c r="N73" s="573"/>
      <c r="O73" s="574"/>
      <c r="P73" s="270"/>
      <c r="Q73" s="233"/>
      <c r="R73" s="234"/>
      <c r="S73" s="626"/>
      <c r="T73" s="627"/>
      <c r="U73" s="235"/>
      <c r="V73" s="236"/>
      <c r="W73" s="236"/>
      <c r="X73" s="236"/>
      <c r="Y73" s="515"/>
      <c r="Z73" s="516"/>
      <c r="AA73" s="575"/>
    </row>
    <row r="74" spans="1:34" s="16" customFormat="1" ht="26.1" customHeight="1" x14ac:dyDescent="0.15">
      <c r="A74" s="225"/>
      <c r="B74" s="568"/>
      <c r="C74" s="569"/>
      <c r="D74" s="596"/>
      <c r="E74" s="597"/>
      <c r="F74" s="228"/>
      <c r="G74" s="567"/>
      <c r="H74" s="571"/>
      <c r="I74" s="567"/>
      <c r="J74" s="571"/>
      <c r="K74" s="635"/>
      <c r="L74" s="636"/>
      <c r="M74" s="637"/>
      <c r="N74" s="638"/>
      <c r="O74" s="639"/>
      <c r="P74" s="270"/>
      <c r="Q74" s="233"/>
      <c r="R74" s="234"/>
      <c r="S74" s="626"/>
      <c r="T74" s="627"/>
      <c r="U74" s="235"/>
      <c r="V74" s="236"/>
      <c r="W74" s="236"/>
      <c r="X74" s="236"/>
      <c r="Y74" s="515"/>
      <c r="Z74" s="516"/>
      <c r="AA74" s="575"/>
    </row>
    <row r="75" spans="1:34" s="16" customFormat="1" ht="26.1" customHeight="1" x14ac:dyDescent="0.15">
      <c r="A75" s="241"/>
      <c r="B75" s="566"/>
      <c r="C75" s="634"/>
      <c r="D75" s="596"/>
      <c r="E75" s="597"/>
      <c r="F75" s="228"/>
      <c r="G75" s="567"/>
      <c r="H75" s="571"/>
      <c r="I75" s="567"/>
      <c r="J75" s="571"/>
      <c r="K75" s="529"/>
      <c r="L75" s="572"/>
      <c r="M75" s="513"/>
      <c r="N75" s="573"/>
      <c r="O75" s="574"/>
      <c r="P75" s="270"/>
      <c r="Q75" s="233"/>
      <c r="R75" s="234"/>
      <c r="S75" s="626"/>
      <c r="T75" s="627"/>
      <c r="U75" s="235"/>
      <c r="V75" s="236"/>
      <c r="W75" s="236"/>
      <c r="X75" s="236"/>
      <c r="Y75" s="515"/>
      <c r="Z75" s="516"/>
      <c r="AA75" s="575"/>
    </row>
    <row r="76" spans="1:34" s="134" customFormat="1" ht="26.1" customHeight="1" x14ac:dyDescent="0.15">
      <c r="A76" s="241"/>
      <c r="B76" s="566"/>
      <c r="C76" s="634"/>
      <c r="D76" s="596"/>
      <c r="E76" s="597"/>
      <c r="F76" s="228"/>
      <c r="G76" s="567"/>
      <c r="H76" s="571"/>
      <c r="I76" s="567"/>
      <c r="J76" s="571"/>
      <c r="K76" s="529"/>
      <c r="L76" s="572"/>
      <c r="M76" s="513"/>
      <c r="N76" s="573"/>
      <c r="O76" s="574"/>
      <c r="P76" s="270"/>
      <c r="Q76" s="233"/>
      <c r="R76" s="234"/>
      <c r="S76" s="626"/>
      <c r="T76" s="627"/>
      <c r="U76" s="235"/>
      <c r="V76" s="236"/>
      <c r="W76" s="236"/>
      <c r="X76" s="236"/>
      <c r="Y76" s="515"/>
      <c r="Z76" s="516"/>
      <c r="AA76" s="575"/>
    </row>
    <row r="77" spans="1:34" s="16" customFormat="1" ht="26.1" customHeight="1" x14ac:dyDescent="0.15">
      <c r="A77" s="242"/>
      <c r="B77" s="564"/>
      <c r="C77" s="628"/>
      <c r="D77" s="589"/>
      <c r="E77" s="590"/>
      <c r="F77" s="243"/>
      <c r="G77" s="565"/>
      <c r="H77" s="588"/>
      <c r="I77" s="565"/>
      <c r="J77" s="588"/>
      <c r="K77" s="521"/>
      <c r="L77" s="629"/>
      <c r="M77" s="522"/>
      <c r="N77" s="630"/>
      <c r="O77" s="631"/>
      <c r="P77" s="271"/>
      <c r="Q77" s="245"/>
      <c r="R77" s="246"/>
      <c r="S77" s="632"/>
      <c r="T77" s="633"/>
      <c r="U77" s="247"/>
      <c r="V77" s="248"/>
      <c r="W77" s="248"/>
      <c r="X77" s="248"/>
      <c r="Y77" s="524"/>
      <c r="Z77" s="525"/>
      <c r="AA77" s="595"/>
    </row>
    <row r="78" spans="1:34" s="201" customFormat="1" ht="26.1" customHeight="1" x14ac:dyDescent="0.15">
      <c r="A78" s="562" t="s">
        <v>157</v>
      </c>
      <c r="B78" s="622"/>
      <c r="C78" s="622"/>
      <c r="D78" s="622"/>
      <c r="E78" s="622"/>
      <c r="F78" s="623"/>
      <c r="G78" s="624">
        <f>SUM(G72:H77)</f>
        <v>0</v>
      </c>
      <c r="H78" s="625"/>
      <c r="I78" s="624">
        <f>SUM(I72:J77)</f>
        <v>0</v>
      </c>
      <c r="J78" s="625"/>
      <c r="K78" s="249"/>
      <c r="L78" s="250"/>
      <c r="M78" s="250"/>
      <c r="N78" s="250"/>
      <c r="O78" s="250"/>
      <c r="P78" s="250"/>
      <c r="Q78" s="250"/>
      <c r="R78" s="250"/>
      <c r="S78" s="250"/>
      <c r="T78" s="251"/>
      <c r="U78" s="252"/>
      <c r="V78" s="272">
        <f>SUM(V72:V77)</f>
        <v>0</v>
      </c>
      <c r="W78" s="272">
        <f>SUM(W72:W77)</f>
        <v>0</v>
      </c>
      <c r="X78" s="272">
        <f>SUM(X72:X77)</f>
        <v>0</v>
      </c>
      <c r="Y78" s="584">
        <f>SUM(V78-W78-X78)</f>
        <v>0</v>
      </c>
      <c r="Z78" s="585"/>
      <c r="AA78" s="586"/>
    </row>
    <row r="79" spans="1:34" ht="7.5" customHeight="1" x14ac:dyDescent="0.15">
      <c r="A79" s="136"/>
      <c r="B79" s="136"/>
      <c r="C79" s="136"/>
      <c r="D79" s="136"/>
      <c r="E79" s="136"/>
      <c r="F79" s="136"/>
      <c r="G79" s="136"/>
      <c r="H79" s="136"/>
      <c r="I79" s="136"/>
      <c r="J79" s="136"/>
      <c r="K79" s="136"/>
      <c r="M79" s="136"/>
      <c r="N79" s="136"/>
      <c r="O79" s="136"/>
      <c r="P79" s="136"/>
      <c r="Q79" s="136"/>
      <c r="R79" s="136"/>
      <c r="S79" s="136"/>
      <c r="T79" s="136"/>
      <c r="U79" s="136"/>
      <c r="V79" s="254"/>
      <c r="W79" s="254"/>
      <c r="X79" s="254"/>
      <c r="Y79" s="559"/>
      <c r="Z79" s="559"/>
      <c r="AA79" s="559"/>
      <c r="AB79" s="136"/>
    </row>
    <row r="80" spans="1:34" x14ac:dyDescent="0.15">
      <c r="A80" s="136"/>
      <c r="B80" s="209" t="s">
        <v>158</v>
      </c>
      <c r="D80" s="142"/>
      <c r="F80" s="143"/>
      <c r="G80" s="143"/>
      <c r="H80" s="143"/>
      <c r="I80" s="143"/>
      <c r="J80" s="142"/>
      <c r="K80" s="142"/>
      <c r="M80" s="142"/>
      <c r="N80" s="142"/>
      <c r="O80" s="142"/>
      <c r="P80" s="142"/>
      <c r="Q80" s="142"/>
      <c r="R80" s="142"/>
      <c r="S80" s="142"/>
      <c r="T80" s="435"/>
      <c r="U80" s="435"/>
      <c r="V80" s="435"/>
      <c r="W80" s="435"/>
      <c r="X80" s="435"/>
      <c r="Y80" s="435"/>
      <c r="Z80" s="435"/>
      <c r="AA80" s="435"/>
      <c r="AB80" s="142"/>
    </row>
    <row r="81" spans="1:36" x14ac:dyDescent="0.15">
      <c r="A81" s="136"/>
      <c r="B81" s="16" t="s">
        <v>105</v>
      </c>
      <c r="C81" s="184"/>
      <c r="D81" s="136"/>
      <c r="E81" s="143"/>
      <c r="F81" s="9"/>
      <c r="G81" s="9"/>
      <c r="H81" s="9"/>
      <c r="I81" s="9"/>
      <c r="J81" s="136"/>
      <c r="K81" s="136"/>
      <c r="M81" s="136"/>
      <c r="N81" s="136"/>
      <c r="O81" s="136"/>
      <c r="P81" s="136"/>
      <c r="Q81" s="136"/>
      <c r="R81" s="136"/>
      <c r="S81" s="136"/>
      <c r="T81" s="136"/>
      <c r="U81" s="136"/>
      <c r="V81" s="136"/>
      <c r="W81" s="136"/>
      <c r="X81" s="136"/>
      <c r="Y81" s="136"/>
      <c r="Z81" s="136"/>
      <c r="AA81" s="136"/>
      <c r="AB81" s="142"/>
    </row>
    <row r="82" spans="1:36" ht="9.9499999999999993" customHeight="1" x14ac:dyDescent="0.15">
      <c r="A82" s="560"/>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560"/>
      <c r="AB82" s="143"/>
      <c r="AC82" s="143"/>
    </row>
    <row r="83" spans="1:36" s="136" customFormat="1" ht="10.5" x14ac:dyDescent="0.15">
      <c r="A83" s="435">
        <f>A54</f>
        <v>0</v>
      </c>
      <c r="B83" s="435"/>
      <c r="C83" s="435"/>
      <c r="D83" s="435"/>
      <c r="E83" s="435"/>
      <c r="F83" s="435"/>
      <c r="G83" s="435"/>
      <c r="H83" s="435"/>
      <c r="I83" s="435"/>
      <c r="J83" s="435"/>
      <c r="K83" s="435"/>
      <c r="L83" s="435"/>
      <c r="M83" s="435"/>
      <c r="N83" s="435"/>
      <c r="O83" s="435"/>
      <c r="P83" s="435"/>
      <c r="Q83" s="435"/>
      <c r="R83" s="435"/>
      <c r="S83" s="435"/>
      <c r="T83" s="435"/>
      <c r="U83" s="435"/>
      <c r="V83" s="435"/>
      <c r="W83" s="435"/>
      <c r="X83" s="435"/>
      <c r="Y83" s="435"/>
      <c r="Z83" s="435"/>
      <c r="AA83" s="435"/>
      <c r="AB83" s="143"/>
      <c r="AC83" s="143"/>
    </row>
    <row r="84" spans="1:36" s="16" customFormat="1" ht="13.5" customHeight="1" x14ac:dyDescent="0.15">
      <c r="C84" s="558" t="str">
        <f>IF(B2="","",B2)</f>
        <v/>
      </c>
      <c r="D84" s="558"/>
      <c r="E84" s="558"/>
      <c r="F84" s="558"/>
      <c r="G84" s="558"/>
      <c r="H84" s="558"/>
      <c r="I84" s="558"/>
      <c r="J84" s="558"/>
      <c r="K84" s="209"/>
      <c r="T84" s="209"/>
      <c r="U84" s="209"/>
      <c r="V84" s="209"/>
      <c r="W84" s="209"/>
      <c r="X84" s="209"/>
      <c r="Y84" s="209"/>
      <c r="Z84" s="209"/>
      <c r="AA84" s="1"/>
      <c r="AB84" s="209"/>
    </row>
    <row r="85" spans="1:36" s="16" customFormat="1" ht="13.5" customHeight="1" x14ac:dyDescent="0.15">
      <c r="C85" s="558" t="str">
        <f>IF(C3="","",C3)</f>
        <v/>
      </c>
      <c r="D85" s="558"/>
      <c r="E85" s="558"/>
      <c r="F85" s="558"/>
      <c r="G85" s="558"/>
      <c r="H85" s="558"/>
      <c r="I85" s="558"/>
      <c r="J85" s="558"/>
      <c r="K85" s="209"/>
      <c r="X85" s="255"/>
      <c r="Y85" s="255"/>
      <c r="Z85" s="255"/>
      <c r="AA85" s="255"/>
      <c r="AB85" s="255"/>
    </row>
    <row r="86" spans="1:36" s="16" customFormat="1" ht="13.5" customHeight="1" x14ac:dyDescent="0.15">
      <c r="C86" s="558" t="str">
        <f>IF(B4="","",B4)</f>
        <v/>
      </c>
      <c r="D86" s="558"/>
      <c r="E86" s="558"/>
      <c r="F86" s="558"/>
      <c r="G86" s="558"/>
      <c r="H86" s="558"/>
      <c r="I86" s="558"/>
      <c r="J86" s="558"/>
      <c r="K86" s="209"/>
      <c r="P86" s="256" t="s">
        <v>161</v>
      </c>
      <c r="W86" s="209"/>
      <c r="X86" s="209"/>
      <c r="Y86" s="209"/>
      <c r="Z86" s="209"/>
      <c r="AA86" s="209"/>
      <c r="AB86" s="209"/>
    </row>
    <row r="87" spans="1:36" s="16" customFormat="1" ht="13.5" customHeight="1" x14ac:dyDescent="0.15">
      <c r="C87" s="482" t="str">
        <f>IF(B7="","",B7)</f>
        <v/>
      </c>
      <c r="D87" s="482"/>
      <c r="E87" s="482"/>
      <c r="F87" s="482"/>
      <c r="G87" s="482"/>
      <c r="H87" s="482"/>
      <c r="J87" s="209" t="s">
        <v>72</v>
      </c>
      <c r="K87" s="209"/>
      <c r="W87" s="209"/>
      <c r="X87" s="209"/>
      <c r="Y87" s="209"/>
      <c r="Z87" s="209"/>
      <c r="AA87" s="209"/>
      <c r="AB87" s="209"/>
    </row>
    <row r="88" spans="1:36" s="16" customFormat="1" ht="13.5" customHeight="1" x14ac:dyDescent="0.15">
      <c r="C88" s="482" t="str">
        <f>IF(C8="","",C8)</f>
        <v/>
      </c>
      <c r="D88" s="482"/>
      <c r="E88" s="482"/>
      <c r="F88" s="482"/>
      <c r="G88" s="482"/>
      <c r="H88" s="482"/>
      <c r="J88" s="209"/>
      <c r="K88" s="209"/>
      <c r="W88" s="209"/>
      <c r="X88" s="209"/>
      <c r="Y88" s="209"/>
      <c r="Z88" s="209"/>
      <c r="AA88" s="209"/>
      <c r="AB88" s="209"/>
    </row>
    <row r="89" spans="1:36" s="136" customFormat="1" ht="11.25" x14ac:dyDescent="0.15">
      <c r="B89" s="214" t="s">
        <v>139</v>
      </c>
      <c r="I89" s="143"/>
      <c r="J89" s="142"/>
      <c r="K89" s="142"/>
    </row>
    <row r="90" spans="1:36" s="136" customFormat="1" ht="11.25" x14ac:dyDescent="0.15">
      <c r="B90" s="214" t="s">
        <v>140</v>
      </c>
      <c r="C90" s="143"/>
      <c r="D90" s="143"/>
      <c r="E90" s="143"/>
      <c r="F90" s="143"/>
      <c r="G90" s="143"/>
      <c r="H90" s="143"/>
      <c r="I90" s="143"/>
      <c r="J90" s="143"/>
      <c r="K90" s="143"/>
      <c r="W90" s="134" t="s">
        <v>141</v>
      </c>
      <c r="X90" s="499"/>
      <c r="Y90" s="499"/>
      <c r="Z90" s="134"/>
      <c r="AA90" s="134"/>
      <c r="AB90" s="257"/>
      <c r="AC90" s="257"/>
      <c r="AD90" s="257"/>
      <c r="AE90" s="257"/>
      <c r="AF90" s="257"/>
      <c r="AG90" s="257"/>
      <c r="AH90" s="257"/>
      <c r="AI90" s="257"/>
      <c r="AJ90" s="257"/>
    </row>
    <row r="91" spans="1:36" s="136" customFormat="1" ht="11.25" x14ac:dyDescent="0.15">
      <c r="B91" s="214" t="s">
        <v>162</v>
      </c>
      <c r="C91" s="275"/>
      <c r="D91" s="142"/>
      <c r="E91" s="142"/>
      <c r="F91" s="142"/>
      <c r="G91" s="142"/>
      <c r="H91" s="142"/>
      <c r="I91" s="142"/>
      <c r="J91" s="142"/>
      <c r="K91" s="142"/>
      <c r="L91" s="142"/>
      <c r="M91" s="142"/>
      <c r="N91" s="142"/>
      <c r="O91" s="142"/>
      <c r="P91" s="142"/>
      <c r="Q91" s="142"/>
      <c r="R91" s="142"/>
      <c r="S91" s="142"/>
      <c r="T91" s="142"/>
      <c r="U91" s="142"/>
      <c r="V91" s="142"/>
      <c r="W91" s="134" t="s">
        <v>74</v>
      </c>
      <c r="X91" s="500"/>
      <c r="Y91" s="500"/>
      <c r="Z91" s="135"/>
      <c r="AA91" s="216" t="s">
        <v>75</v>
      </c>
      <c r="AB91" s="257"/>
      <c r="AC91" s="257"/>
      <c r="AD91" s="257"/>
      <c r="AE91" s="257"/>
      <c r="AF91" s="257"/>
      <c r="AG91" s="257"/>
      <c r="AH91" s="257"/>
      <c r="AI91" s="257"/>
    </row>
    <row r="92" spans="1:36" s="136" customFormat="1" ht="11.25" x14ac:dyDescent="0.15">
      <c r="B92" s="214"/>
      <c r="C92" s="275"/>
      <c r="D92" s="142"/>
      <c r="E92" s="142"/>
      <c r="F92" s="142"/>
      <c r="G92" s="142"/>
      <c r="H92" s="142"/>
      <c r="I92" s="142"/>
      <c r="J92" s="142"/>
      <c r="K92" s="142"/>
      <c r="L92" s="142"/>
      <c r="M92" s="142"/>
      <c r="N92" s="142"/>
      <c r="O92" s="142"/>
      <c r="P92" s="142"/>
      <c r="Q92" s="142"/>
      <c r="R92" s="142"/>
      <c r="S92" s="142"/>
      <c r="T92" s="142"/>
      <c r="U92" s="142"/>
      <c r="V92" s="142"/>
      <c r="W92" s="142"/>
      <c r="X92" s="142"/>
      <c r="Y92" s="142"/>
      <c r="Z92" s="142"/>
      <c r="AA92" s="142"/>
      <c r="AB92" s="142"/>
    </row>
    <row r="93" spans="1:36" s="16" customFormat="1" ht="11.25" x14ac:dyDescent="0.15">
      <c r="B93" s="134"/>
      <c r="C93" s="134"/>
      <c r="D93" s="134"/>
      <c r="E93" s="134"/>
      <c r="S93" s="257"/>
      <c r="T93" s="257"/>
      <c r="U93" s="257"/>
      <c r="X93" s="134"/>
      <c r="Y93" s="134"/>
      <c r="Z93" s="134"/>
      <c r="AA93" s="134"/>
      <c r="AB93" s="134"/>
    </row>
    <row r="94" spans="1:36" s="136" customFormat="1" ht="10.5" x14ac:dyDescent="0.15">
      <c r="B94" s="470" t="s">
        <v>143</v>
      </c>
      <c r="C94" s="616"/>
      <c r="D94" s="616"/>
      <c r="W94" s="217"/>
      <c r="X94" s="217"/>
      <c r="Y94" s="217"/>
      <c r="Z94" s="217"/>
      <c r="AA94" s="217"/>
    </row>
    <row r="95" spans="1:36" s="134" customFormat="1" ht="11.25" x14ac:dyDescent="0.15">
      <c r="A95" s="610" t="s">
        <v>144</v>
      </c>
      <c r="B95" s="610"/>
      <c r="C95" s="610"/>
      <c r="D95" s="610"/>
      <c r="E95" s="610"/>
      <c r="F95" s="610"/>
      <c r="G95" s="610"/>
      <c r="H95" s="610"/>
      <c r="I95" s="610"/>
      <c r="J95" s="610"/>
      <c r="K95" s="610"/>
      <c r="L95" s="610"/>
      <c r="M95" s="610"/>
      <c r="N95" s="610"/>
      <c r="O95" s="610"/>
      <c r="P95" s="610" t="s">
        <v>145</v>
      </c>
      <c r="Q95" s="610"/>
      <c r="R95" s="610"/>
      <c r="S95" s="610" t="s">
        <v>146</v>
      </c>
      <c r="T95" s="610"/>
      <c r="U95" s="610"/>
      <c r="V95" s="610"/>
      <c r="W95" s="610"/>
      <c r="X95" s="610"/>
      <c r="Y95" s="610"/>
      <c r="Z95" s="610"/>
      <c r="AA95" s="610"/>
    </row>
    <row r="96" spans="1:36" s="134" customFormat="1" ht="11.25" x14ac:dyDescent="0.15">
      <c r="A96" s="610" t="s">
        <v>91</v>
      </c>
      <c r="B96" s="546" t="s">
        <v>163</v>
      </c>
      <c r="C96" s="611"/>
      <c r="D96" s="552" t="s">
        <v>93</v>
      </c>
      <c r="E96" s="614"/>
      <c r="F96" s="610" t="s">
        <v>148</v>
      </c>
      <c r="G96" s="552" t="s">
        <v>94</v>
      </c>
      <c r="H96" s="615"/>
      <c r="I96" s="615"/>
      <c r="J96" s="614"/>
      <c r="K96" s="554" t="s">
        <v>95</v>
      </c>
      <c r="L96" s="611"/>
      <c r="M96" s="546" t="s">
        <v>164</v>
      </c>
      <c r="N96" s="557"/>
      <c r="O96" s="618"/>
      <c r="P96" s="544" t="s">
        <v>150</v>
      </c>
      <c r="Q96" s="544" t="s">
        <v>94</v>
      </c>
      <c r="R96" s="544" t="s">
        <v>95</v>
      </c>
      <c r="S96" s="546" t="s">
        <v>151</v>
      </c>
      <c r="T96" s="618"/>
      <c r="U96" s="544" t="s">
        <v>152</v>
      </c>
      <c r="V96" s="544" t="s">
        <v>153</v>
      </c>
      <c r="W96" s="617" t="s">
        <v>100</v>
      </c>
      <c r="X96" s="617" t="s">
        <v>101</v>
      </c>
      <c r="Y96" s="546" t="s">
        <v>154</v>
      </c>
      <c r="Z96" s="557"/>
      <c r="AA96" s="618"/>
    </row>
    <row r="97" spans="1:28" s="134" customFormat="1" ht="11.25" x14ac:dyDescent="0.15">
      <c r="A97" s="610"/>
      <c r="B97" s="612"/>
      <c r="C97" s="613"/>
      <c r="D97" s="552"/>
      <c r="E97" s="614"/>
      <c r="F97" s="610"/>
      <c r="G97" s="552" t="s">
        <v>19</v>
      </c>
      <c r="H97" s="614"/>
      <c r="I97" s="552" t="s">
        <v>20</v>
      </c>
      <c r="J97" s="614"/>
      <c r="K97" s="612"/>
      <c r="L97" s="613"/>
      <c r="M97" s="619"/>
      <c r="N97" s="620"/>
      <c r="O97" s="621"/>
      <c r="P97" s="601"/>
      <c r="Q97" s="601"/>
      <c r="R97" s="601"/>
      <c r="S97" s="619"/>
      <c r="T97" s="621"/>
      <c r="U97" s="601"/>
      <c r="V97" s="601"/>
      <c r="W97" s="617"/>
      <c r="X97" s="617"/>
      <c r="Y97" s="619"/>
      <c r="Z97" s="620"/>
      <c r="AA97" s="621"/>
    </row>
    <row r="98" spans="1:28" s="16" customFormat="1" ht="26.1" customHeight="1" x14ac:dyDescent="0.15">
      <c r="A98" s="218" t="str">
        <f t="shared" ref="A98:B103" si="8">IF(A72="","",A72)</f>
        <v/>
      </c>
      <c r="B98" s="540" t="str">
        <f t="shared" si="8"/>
        <v/>
      </c>
      <c r="C98" s="604"/>
      <c r="D98" s="605" t="str">
        <f t="shared" ref="D98:D103" si="9">IF(D72="","",D72)</f>
        <v/>
      </c>
      <c r="E98" s="606"/>
      <c r="F98" s="219" t="str">
        <f t="shared" ref="F98:G103" si="10">IF(F72="","",F72)</f>
        <v/>
      </c>
      <c r="G98" s="607" t="str">
        <f t="shared" si="10"/>
        <v/>
      </c>
      <c r="H98" s="607"/>
      <c r="I98" s="607" t="str">
        <f t="shared" ref="I98:I104" si="11">IF(I72="","",I72)</f>
        <v/>
      </c>
      <c r="J98" s="607"/>
      <c r="K98" s="608" t="str">
        <f t="shared" ref="K98:K103" si="12">IF(K72="","",K72)</f>
        <v/>
      </c>
      <c r="L98" s="608"/>
      <c r="M98" s="609" t="str">
        <f t="shared" ref="M98:M103" si="13">IF(M72="","",M72)</f>
        <v/>
      </c>
      <c r="N98" s="609"/>
      <c r="O98" s="609"/>
      <c r="P98" s="269" t="str">
        <f t="shared" ref="P98:S103" si="14">IF(P72="","",P72)</f>
        <v/>
      </c>
      <c r="Q98" s="221" t="str">
        <f t="shared" si="14"/>
        <v/>
      </c>
      <c r="R98" s="222" t="str">
        <f t="shared" si="14"/>
        <v/>
      </c>
      <c r="S98" s="602" t="str">
        <f t="shared" si="14"/>
        <v/>
      </c>
      <c r="T98" s="602"/>
      <c r="U98" s="223" t="str">
        <f t="shared" ref="U98:Y103" si="15">IF(U72="","",U72)</f>
        <v/>
      </c>
      <c r="V98" s="224" t="str">
        <f t="shared" si="15"/>
        <v/>
      </c>
      <c r="W98" s="224" t="str">
        <f t="shared" si="15"/>
        <v/>
      </c>
      <c r="X98" s="224" t="str">
        <f t="shared" si="15"/>
        <v/>
      </c>
      <c r="Y98" s="537" t="str">
        <f t="shared" si="15"/>
        <v/>
      </c>
      <c r="Z98" s="538"/>
      <c r="AA98" s="603"/>
    </row>
    <row r="99" spans="1:28" s="16" customFormat="1" ht="26.1" customHeight="1" x14ac:dyDescent="0.15">
      <c r="A99" s="241" t="str">
        <f t="shared" si="8"/>
        <v/>
      </c>
      <c r="B99" s="526" t="str">
        <f t="shared" si="8"/>
        <v/>
      </c>
      <c r="C99" s="571"/>
      <c r="D99" s="596" t="str">
        <f t="shared" si="9"/>
        <v/>
      </c>
      <c r="E99" s="597"/>
      <c r="F99" s="276" t="str">
        <f t="shared" si="10"/>
        <v/>
      </c>
      <c r="G99" s="598" t="str">
        <f t="shared" si="10"/>
        <v/>
      </c>
      <c r="H99" s="598"/>
      <c r="I99" s="598" t="str">
        <f t="shared" si="11"/>
        <v/>
      </c>
      <c r="J99" s="598"/>
      <c r="K99" s="599" t="str">
        <f t="shared" si="12"/>
        <v/>
      </c>
      <c r="L99" s="599"/>
      <c r="M99" s="600" t="str">
        <f t="shared" si="13"/>
        <v/>
      </c>
      <c r="N99" s="600"/>
      <c r="O99" s="600"/>
      <c r="P99" s="270" t="str">
        <f t="shared" si="14"/>
        <v/>
      </c>
      <c r="Q99" s="233" t="str">
        <f t="shared" si="14"/>
        <v/>
      </c>
      <c r="R99" s="234" t="str">
        <f t="shared" si="14"/>
        <v/>
      </c>
      <c r="S99" s="587" t="str">
        <f t="shared" si="14"/>
        <v/>
      </c>
      <c r="T99" s="587"/>
      <c r="U99" s="235" t="str">
        <f t="shared" si="15"/>
        <v/>
      </c>
      <c r="V99" s="236" t="str">
        <f t="shared" si="15"/>
        <v/>
      </c>
      <c r="W99" s="236" t="str">
        <f t="shared" si="15"/>
        <v/>
      </c>
      <c r="X99" s="236" t="str">
        <f t="shared" si="15"/>
        <v/>
      </c>
      <c r="Y99" s="515" t="str">
        <f t="shared" si="15"/>
        <v/>
      </c>
      <c r="Z99" s="516"/>
      <c r="AA99" s="575"/>
    </row>
    <row r="100" spans="1:28" s="16" customFormat="1" ht="26.1" customHeight="1" x14ac:dyDescent="0.15">
      <c r="A100" s="241" t="str">
        <f t="shared" si="8"/>
        <v/>
      </c>
      <c r="B100" s="526" t="str">
        <f t="shared" si="8"/>
        <v/>
      </c>
      <c r="C100" s="571"/>
      <c r="D100" s="596" t="str">
        <f t="shared" si="9"/>
        <v/>
      </c>
      <c r="E100" s="597"/>
      <c r="F100" s="276" t="str">
        <f t="shared" si="10"/>
        <v/>
      </c>
      <c r="G100" s="598" t="str">
        <f t="shared" si="10"/>
        <v/>
      </c>
      <c r="H100" s="598"/>
      <c r="I100" s="598" t="str">
        <f t="shared" si="11"/>
        <v/>
      </c>
      <c r="J100" s="598"/>
      <c r="K100" s="599" t="str">
        <f t="shared" si="12"/>
        <v/>
      </c>
      <c r="L100" s="599"/>
      <c r="M100" s="600" t="str">
        <f t="shared" si="13"/>
        <v/>
      </c>
      <c r="N100" s="600"/>
      <c r="O100" s="600"/>
      <c r="P100" s="270" t="str">
        <f t="shared" si="14"/>
        <v/>
      </c>
      <c r="Q100" s="233" t="str">
        <f t="shared" si="14"/>
        <v/>
      </c>
      <c r="R100" s="234" t="str">
        <f t="shared" si="14"/>
        <v/>
      </c>
      <c r="S100" s="587" t="str">
        <f t="shared" si="14"/>
        <v/>
      </c>
      <c r="T100" s="587"/>
      <c r="U100" s="235" t="str">
        <f t="shared" si="15"/>
        <v/>
      </c>
      <c r="V100" s="236" t="str">
        <f t="shared" si="15"/>
        <v/>
      </c>
      <c r="W100" s="236" t="str">
        <f t="shared" si="15"/>
        <v/>
      </c>
      <c r="X100" s="236" t="str">
        <f t="shared" si="15"/>
        <v/>
      </c>
      <c r="Y100" s="515" t="str">
        <f t="shared" si="15"/>
        <v/>
      </c>
      <c r="Z100" s="516"/>
      <c r="AA100" s="575"/>
    </row>
    <row r="101" spans="1:28" s="16" customFormat="1" ht="26.1" customHeight="1" x14ac:dyDescent="0.15">
      <c r="A101" s="241" t="str">
        <f t="shared" si="8"/>
        <v/>
      </c>
      <c r="B101" s="526" t="str">
        <f t="shared" si="8"/>
        <v/>
      </c>
      <c r="C101" s="571"/>
      <c r="D101" s="596" t="str">
        <f t="shared" si="9"/>
        <v/>
      </c>
      <c r="E101" s="597"/>
      <c r="F101" s="276" t="str">
        <f t="shared" si="10"/>
        <v/>
      </c>
      <c r="G101" s="598" t="str">
        <f t="shared" si="10"/>
        <v/>
      </c>
      <c r="H101" s="598"/>
      <c r="I101" s="598" t="str">
        <f t="shared" si="11"/>
        <v/>
      </c>
      <c r="J101" s="598"/>
      <c r="K101" s="599" t="str">
        <f t="shared" si="12"/>
        <v/>
      </c>
      <c r="L101" s="599"/>
      <c r="M101" s="600" t="str">
        <f t="shared" si="13"/>
        <v/>
      </c>
      <c r="N101" s="600"/>
      <c r="O101" s="600"/>
      <c r="P101" s="270" t="str">
        <f t="shared" si="14"/>
        <v/>
      </c>
      <c r="Q101" s="233" t="str">
        <f t="shared" si="14"/>
        <v/>
      </c>
      <c r="R101" s="234" t="str">
        <f t="shared" si="14"/>
        <v/>
      </c>
      <c r="S101" s="587" t="str">
        <f t="shared" si="14"/>
        <v/>
      </c>
      <c r="T101" s="587"/>
      <c r="U101" s="235" t="str">
        <f t="shared" si="15"/>
        <v/>
      </c>
      <c r="V101" s="236" t="str">
        <f t="shared" si="15"/>
        <v/>
      </c>
      <c r="W101" s="236" t="str">
        <f t="shared" si="15"/>
        <v/>
      </c>
      <c r="X101" s="236" t="str">
        <f t="shared" si="15"/>
        <v/>
      </c>
      <c r="Y101" s="515" t="str">
        <f t="shared" si="15"/>
        <v/>
      </c>
      <c r="Z101" s="516"/>
      <c r="AA101" s="575"/>
    </row>
    <row r="102" spans="1:28" s="134" customFormat="1" ht="26.1" customHeight="1" x14ac:dyDescent="0.15">
      <c r="A102" s="241" t="str">
        <f t="shared" si="8"/>
        <v/>
      </c>
      <c r="B102" s="526" t="str">
        <f>IF(B76="","",B76)</f>
        <v/>
      </c>
      <c r="C102" s="571"/>
      <c r="D102" s="596" t="str">
        <f t="shared" si="9"/>
        <v/>
      </c>
      <c r="E102" s="597"/>
      <c r="F102" s="276" t="str">
        <f t="shared" si="10"/>
        <v/>
      </c>
      <c r="G102" s="598" t="str">
        <f t="shared" si="10"/>
        <v/>
      </c>
      <c r="H102" s="598"/>
      <c r="I102" s="598" t="str">
        <f t="shared" si="11"/>
        <v/>
      </c>
      <c r="J102" s="598"/>
      <c r="K102" s="599" t="str">
        <f t="shared" si="12"/>
        <v/>
      </c>
      <c r="L102" s="599"/>
      <c r="M102" s="600" t="str">
        <f t="shared" si="13"/>
        <v/>
      </c>
      <c r="N102" s="600"/>
      <c r="O102" s="600"/>
      <c r="P102" s="270" t="str">
        <f t="shared" si="14"/>
        <v/>
      </c>
      <c r="Q102" s="233" t="str">
        <f t="shared" si="14"/>
        <v/>
      </c>
      <c r="R102" s="234" t="str">
        <f t="shared" si="14"/>
        <v/>
      </c>
      <c r="S102" s="587" t="str">
        <f t="shared" si="14"/>
        <v/>
      </c>
      <c r="T102" s="587"/>
      <c r="U102" s="235" t="str">
        <f t="shared" si="15"/>
        <v/>
      </c>
      <c r="V102" s="236" t="str">
        <f t="shared" si="15"/>
        <v/>
      </c>
      <c r="W102" s="236" t="str">
        <f t="shared" si="15"/>
        <v/>
      </c>
      <c r="X102" s="236" t="str">
        <f t="shared" si="15"/>
        <v/>
      </c>
      <c r="Y102" s="515" t="str">
        <f t="shared" si="15"/>
        <v/>
      </c>
      <c r="Z102" s="516"/>
      <c r="AA102" s="575"/>
    </row>
    <row r="103" spans="1:28" s="16" customFormat="1" ht="26.1" customHeight="1" x14ac:dyDescent="0.15">
      <c r="A103" s="242" t="str">
        <f t="shared" si="8"/>
        <v/>
      </c>
      <c r="B103" s="517" t="str">
        <f>IF(B77="","",B77)</f>
        <v/>
      </c>
      <c r="C103" s="588"/>
      <c r="D103" s="589" t="str">
        <f t="shared" si="9"/>
        <v/>
      </c>
      <c r="E103" s="590"/>
      <c r="F103" s="277" t="str">
        <f t="shared" si="10"/>
        <v/>
      </c>
      <c r="G103" s="591" t="str">
        <f t="shared" si="10"/>
        <v/>
      </c>
      <c r="H103" s="591"/>
      <c r="I103" s="591" t="str">
        <f t="shared" si="11"/>
        <v/>
      </c>
      <c r="J103" s="591"/>
      <c r="K103" s="592" t="str">
        <f t="shared" si="12"/>
        <v/>
      </c>
      <c r="L103" s="592"/>
      <c r="M103" s="593" t="str">
        <f t="shared" si="13"/>
        <v/>
      </c>
      <c r="N103" s="593"/>
      <c r="O103" s="593"/>
      <c r="P103" s="271" t="str">
        <f t="shared" si="14"/>
        <v/>
      </c>
      <c r="Q103" s="245" t="str">
        <f t="shared" si="14"/>
        <v/>
      </c>
      <c r="R103" s="246" t="str">
        <f t="shared" si="14"/>
        <v/>
      </c>
      <c r="S103" s="594" t="str">
        <f t="shared" si="14"/>
        <v/>
      </c>
      <c r="T103" s="594"/>
      <c r="U103" s="247" t="str">
        <f t="shared" si="15"/>
        <v/>
      </c>
      <c r="V103" s="248" t="str">
        <f t="shared" si="15"/>
        <v/>
      </c>
      <c r="W103" s="248" t="str">
        <f t="shared" si="15"/>
        <v/>
      </c>
      <c r="X103" s="248" t="str">
        <f t="shared" si="15"/>
        <v/>
      </c>
      <c r="Y103" s="524" t="str">
        <f t="shared" si="15"/>
        <v/>
      </c>
      <c r="Z103" s="525"/>
      <c r="AA103" s="595"/>
    </row>
    <row r="104" spans="1:28" s="16" customFormat="1" x14ac:dyDescent="0.15">
      <c r="A104" s="531" t="s">
        <v>165</v>
      </c>
      <c r="B104" s="581"/>
      <c r="C104" s="581"/>
      <c r="D104" s="581"/>
      <c r="E104" s="581"/>
      <c r="F104" s="582"/>
      <c r="G104" s="583">
        <f>IF(G78="","",G78)</f>
        <v>0</v>
      </c>
      <c r="H104" s="583"/>
      <c r="I104" s="583">
        <f t="shared" si="11"/>
        <v>0</v>
      </c>
      <c r="J104" s="583"/>
      <c r="K104" s="264"/>
      <c r="L104" s="265"/>
      <c r="M104" s="265"/>
      <c r="N104" s="265"/>
      <c r="O104" s="265"/>
      <c r="P104" s="265"/>
      <c r="Q104" s="265"/>
      <c r="R104" s="265"/>
      <c r="S104" s="265"/>
      <c r="T104" s="266"/>
      <c r="U104" s="252"/>
      <c r="V104" s="272">
        <f>IF(V78="","",V78)</f>
        <v>0</v>
      </c>
      <c r="W104" s="272">
        <f>IF(W78="","",W78)</f>
        <v>0</v>
      </c>
      <c r="X104" s="272">
        <f>IF(X78="","",X78)</f>
        <v>0</v>
      </c>
      <c r="Y104" s="584">
        <f>IF(Y78="","",Y78)</f>
        <v>0</v>
      </c>
      <c r="Z104" s="585"/>
      <c r="AA104" s="586"/>
    </row>
    <row r="105" spans="1:28" s="16" customFormat="1" ht="11.25" x14ac:dyDescent="0.15">
      <c r="B105" s="209" t="s">
        <v>158</v>
      </c>
      <c r="D105" s="209"/>
      <c r="F105" s="134"/>
      <c r="G105" s="134"/>
      <c r="H105" s="134"/>
      <c r="I105" s="134"/>
      <c r="J105" s="209"/>
      <c r="K105" s="209"/>
      <c r="M105" s="209"/>
      <c r="N105" s="209"/>
      <c r="O105" s="209"/>
      <c r="P105" s="209"/>
      <c r="Q105" s="209"/>
      <c r="R105" s="209"/>
      <c r="S105" s="209"/>
      <c r="T105" s="209"/>
      <c r="U105" s="209"/>
      <c r="V105" s="209"/>
      <c r="W105" s="209"/>
      <c r="X105" s="209"/>
      <c r="Y105" s="209"/>
      <c r="Z105" s="209"/>
      <c r="AA105" s="209"/>
      <c r="AB105" s="209"/>
    </row>
    <row r="106" spans="1:28" s="16" customFormat="1" ht="11.25" x14ac:dyDescent="0.15">
      <c r="B106" s="16" t="s">
        <v>105</v>
      </c>
      <c r="C106" s="273"/>
      <c r="E106" s="134"/>
      <c r="F106" s="134"/>
      <c r="G106" s="134"/>
      <c r="H106" s="134"/>
      <c r="I106" s="134"/>
      <c r="T106" s="435"/>
      <c r="U106" s="435"/>
      <c r="V106" s="435"/>
      <c r="W106" s="435"/>
      <c r="X106" s="435"/>
      <c r="Y106" s="435"/>
      <c r="Z106" s="435"/>
      <c r="AA106" s="435"/>
    </row>
    <row r="107" spans="1:28" x14ac:dyDescent="0.15">
      <c r="A107" s="136"/>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row>
    <row r="108" spans="1:28" x14ac:dyDescent="0.15">
      <c r="B108" s="16"/>
      <c r="C108" s="1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row>
    <row r="109" spans="1:28" x14ac:dyDescent="0.15">
      <c r="B109" s="16"/>
      <c r="C109" s="1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row>
  </sheetData>
  <mergeCells count="337">
    <mergeCell ref="A1:AA1"/>
    <mergeCell ref="AA2:AA3"/>
    <mergeCell ref="B3:U4"/>
    <mergeCell ref="B7:E7"/>
    <mergeCell ref="X11:Z11"/>
    <mergeCell ref="X12:Z12"/>
    <mergeCell ref="B15:D15"/>
    <mergeCell ref="A16:O16"/>
    <mergeCell ref="P16:R16"/>
    <mergeCell ref="S16:AA16"/>
    <mergeCell ref="A17:A18"/>
    <mergeCell ref="B17:C18"/>
    <mergeCell ref="D17:E18"/>
    <mergeCell ref="F17:F18"/>
    <mergeCell ref="G17:J17"/>
    <mergeCell ref="K17:L18"/>
    <mergeCell ref="V17:V18"/>
    <mergeCell ref="W17:W18"/>
    <mergeCell ref="X17:X18"/>
    <mergeCell ref="Y17:AA18"/>
    <mergeCell ref="G18:H18"/>
    <mergeCell ref="I18:J18"/>
    <mergeCell ref="M17:O18"/>
    <mergeCell ref="P17:P18"/>
    <mergeCell ref="Q17:Q18"/>
    <mergeCell ref="R17:R18"/>
    <mergeCell ref="S17:T18"/>
    <mergeCell ref="U17:U18"/>
    <mergeCell ref="S19:T19"/>
    <mergeCell ref="Y19:AA19"/>
    <mergeCell ref="B20:C20"/>
    <mergeCell ref="D20:E20"/>
    <mergeCell ref="G20:H20"/>
    <mergeCell ref="I20:J20"/>
    <mergeCell ref="K20:L20"/>
    <mergeCell ref="M20:O20"/>
    <mergeCell ref="S20:T20"/>
    <mergeCell ref="Y20:AA20"/>
    <mergeCell ref="B19:C19"/>
    <mergeCell ref="D19:E19"/>
    <mergeCell ref="G19:H19"/>
    <mergeCell ref="I19:J19"/>
    <mergeCell ref="K19:L19"/>
    <mergeCell ref="M19:O19"/>
    <mergeCell ref="S21:T21"/>
    <mergeCell ref="Y21:AA21"/>
    <mergeCell ref="B22:C22"/>
    <mergeCell ref="D22:E22"/>
    <mergeCell ref="G22:H22"/>
    <mergeCell ref="I22:J22"/>
    <mergeCell ref="K22:L22"/>
    <mergeCell ref="M22:O22"/>
    <mergeCell ref="S22:T22"/>
    <mergeCell ref="Y22:AA22"/>
    <mergeCell ref="B21:C21"/>
    <mergeCell ref="D21:E21"/>
    <mergeCell ref="G21:H21"/>
    <mergeCell ref="I21:J21"/>
    <mergeCell ref="K21:L21"/>
    <mergeCell ref="M21:O21"/>
    <mergeCell ref="S23:T23"/>
    <mergeCell ref="Y23:AA23"/>
    <mergeCell ref="B24:C24"/>
    <mergeCell ref="D24:E24"/>
    <mergeCell ref="G24:H24"/>
    <mergeCell ref="I24:J24"/>
    <mergeCell ref="K24:L24"/>
    <mergeCell ref="M24:O24"/>
    <mergeCell ref="S24:T24"/>
    <mergeCell ref="Y24:AA24"/>
    <mergeCell ref="B23:C23"/>
    <mergeCell ref="D23:E23"/>
    <mergeCell ref="G23:H23"/>
    <mergeCell ref="I23:J23"/>
    <mergeCell ref="K23:L23"/>
    <mergeCell ref="M23:O23"/>
    <mergeCell ref="A29:AA29"/>
    <mergeCell ref="A30:AA30"/>
    <mergeCell ref="C31:J31"/>
    <mergeCell ref="C32:T32"/>
    <mergeCell ref="C33:J33"/>
    <mergeCell ref="C34:H34"/>
    <mergeCell ref="A25:F25"/>
    <mergeCell ref="G25:H25"/>
    <mergeCell ref="I25:J25"/>
    <mergeCell ref="Y25:AA25"/>
    <mergeCell ref="Y26:AA26"/>
    <mergeCell ref="T27:AA27"/>
    <mergeCell ref="A43:A44"/>
    <mergeCell ref="B43:C44"/>
    <mergeCell ref="D43:E44"/>
    <mergeCell ref="F43:F44"/>
    <mergeCell ref="G43:J43"/>
    <mergeCell ref="K43:L44"/>
    <mergeCell ref="C35:H35"/>
    <mergeCell ref="X37:Y37"/>
    <mergeCell ref="X38:Y38"/>
    <mergeCell ref="B41:D41"/>
    <mergeCell ref="A42:O42"/>
    <mergeCell ref="P42:R42"/>
    <mergeCell ref="S42:AA42"/>
    <mergeCell ref="V43:V44"/>
    <mergeCell ref="W43:W44"/>
    <mergeCell ref="X43:X44"/>
    <mergeCell ref="Y43:AA44"/>
    <mergeCell ref="G44:H44"/>
    <mergeCell ref="I44:J44"/>
    <mergeCell ref="M43:O44"/>
    <mergeCell ref="P43:P44"/>
    <mergeCell ref="Q43:Q44"/>
    <mergeCell ref="R43:R44"/>
    <mergeCell ref="S43:T44"/>
    <mergeCell ref="U43:U44"/>
    <mergeCell ref="S45:T45"/>
    <mergeCell ref="Y45:AA45"/>
    <mergeCell ref="B46:C46"/>
    <mergeCell ref="D46:E46"/>
    <mergeCell ref="G46:H46"/>
    <mergeCell ref="I46:J46"/>
    <mergeCell ref="K46:L46"/>
    <mergeCell ref="M46:O46"/>
    <mergeCell ref="S46:T46"/>
    <mergeCell ref="Y46:AA46"/>
    <mergeCell ref="B45:C45"/>
    <mergeCell ref="D45:E45"/>
    <mergeCell ref="G45:H45"/>
    <mergeCell ref="I45:J45"/>
    <mergeCell ref="K45:L45"/>
    <mergeCell ref="M45:O45"/>
    <mergeCell ref="S47:T47"/>
    <mergeCell ref="Y47:AA47"/>
    <mergeCell ref="B48:C48"/>
    <mergeCell ref="D48:E48"/>
    <mergeCell ref="G48:H48"/>
    <mergeCell ref="I48:J48"/>
    <mergeCell ref="K48:L48"/>
    <mergeCell ref="M48:O48"/>
    <mergeCell ref="S48:T48"/>
    <mergeCell ref="Y48:AA48"/>
    <mergeCell ref="B47:C47"/>
    <mergeCell ref="D47:E47"/>
    <mergeCell ref="G47:H47"/>
    <mergeCell ref="I47:J47"/>
    <mergeCell ref="K47:L47"/>
    <mergeCell ref="M47:O47"/>
    <mergeCell ref="S49:T49"/>
    <mergeCell ref="Y49:AA49"/>
    <mergeCell ref="B50:C50"/>
    <mergeCell ref="D50:E50"/>
    <mergeCell ref="G50:H50"/>
    <mergeCell ref="I50:J50"/>
    <mergeCell ref="K50:L50"/>
    <mergeCell ref="M50:O50"/>
    <mergeCell ref="S50:T50"/>
    <mergeCell ref="Y50:AA50"/>
    <mergeCell ref="B49:C49"/>
    <mergeCell ref="D49:E49"/>
    <mergeCell ref="G49:H49"/>
    <mergeCell ref="I49:J49"/>
    <mergeCell ref="K49:L49"/>
    <mergeCell ref="M49:O49"/>
    <mergeCell ref="C55:J55"/>
    <mergeCell ref="AA55:AA56"/>
    <mergeCell ref="C56:J56"/>
    <mergeCell ref="C57:J57"/>
    <mergeCell ref="C58:J58"/>
    <mergeCell ref="C59:J59"/>
    <mergeCell ref="A51:F51"/>
    <mergeCell ref="G51:H51"/>
    <mergeCell ref="I51:J51"/>
    <mergeCell ref="Y51:AA51"/>
    <mergeCell ref="T53:AA53"/>
    <mergeCell ref="A54:AA54"/>
    <mergeCell ref="A70:A71"/>
    <mergeCell ref="B70:C71"/>
    <mergeCell ref="D70:E71"/>
    <mergeCell ref="F70:F71"/>
    <mergeCell ref="G70:J70"/>
    <mergeCell ref="K70:L71"/>
    <mergeCell ref="C60:I60"/>
    <mergeCell ref="C61:H61"/>
    <mergeCell ref="X64:Y64"/>
    <mergeCell ref="X65:Y65"/>
    <mergeCell ref="B68:D68"/>
    <mergeCell ref="A69:O69"/>
    <mergeCell ref="P69:R69"/>
    <mergeCell ref="S69:AA69"/>
    <mergeCell ref="V70:V71"/>
    <mergeCell ref="W70:W71"/>
    <mergeCell ref="X70:X71"/>
    <mergeCell ref="Y70:AA71"/>
    <mergeCell ref="G71:H71"/>
    <mergeCell ref="I71:J71"/>
    <mergeCell ref="M70:O71"/>
    <mergeCell ref="P70:P71"/>
    <mergeCell ref="Q70:Q71"/>
    <mergeCell ref="R70:R71"/>
    <mergeCell ref="S70:T71"/>
    <mergeCell ref="U70:U71"/>
    <mergeCell ref="S72:T72"/>
    <mergeCell ref="Y72:AA72"/>
    <mergeCell ref="B73:C73"/>
    <mergeCell ref="D73:E73"/>
    <mergeCell ref="G73:H73"/>
    <mergeCell ref="I73:J73"/>
    <mergeCell ref="K73:L73"/>
    <mergeCell ref="M73:O73"/>
    <mergeCell ref="S73:T73"/>
    <mergeCell ref="Y73:AA73"/>
    <mergeCell ref="B72:C72"/>
    <mergeCell ref="D72:E72"/>
    <mergeCell ref="G72:H72"/>
    <mergeCell ref="I72:J72"/>
    <mergeCell ref="K72:L72"/>
    <mergeCell ref="M72:O72"/>
    <mergeCell ref="S74:T74"/>
    <mergeCell ref="Y74:AA74"/>
    <mergeCell ref="B75:C75"/>
    <mergeCell ref="D75:E75"/>
    <mergeCell ref="G75:H75"/>
    <mergeCell ref="I75:J75"/>
    <mergeCell ref="K75:L75"/>
    <mergeCell ref="M75:O75"/>
    <mergeCell ref="S75:T75"/>
    <mergeCell ref="Y75:AA75"/>
    <mergeCell ref="B74:C74"/>
    <mergeCell ref="D74:E74"/>
    <mergeCell ref="G74:H74"/>
    <mergeCell ref="I74:J74"/>
    <mergeCell ref="K74:L74"/>
    <mergeCell ref="M74:O74"/>
    <mergeCell ref="S76:T76"/>
    <mergeCell ref="Y76:AA76"/>
    <mergeCell ref="B77:C77"/>
    <mergeCell ref="D77:E77"/>
    <mergeCell ref="G77:H77"/>
    <mergeCell ref="I77:J77"/>
    <mergeCell ref="K77:L77"/>
    <mergeCell ref="M77:O77"/>
    <mergeCell ref="S77:T77"/>
    <mergeCell ref="Y77:AA77"/>
    <mergeCell ref="B76:C76"/>
    <mergeCell ref="D76:E76"/>
    <mergeCell ref="G76:H76"/>
    <mergeCell ref="I76:J76"/>
    <mergeCell ref="K76:L76"/>
    <mergeCell ref="M76:O76"/>
    <mergeCell ref="A82:AA82"/>
    <mergeCell ref="A83:AA83"/>
    <mergeCell ref="C84:J84"/>
    <mergeCell ref="C85:J85"/>
    <mergeCell ref="C86:J86"/>
    <mergeCell ref="C87:H87"/>
    <mergeCell ref="A78:F78"/>
    <mergeCell ref="G78:H78"/>
    <mergeCell ref="I78:J78"/>
    <mergeCell ref="Y78:AA78"/>
    <mergeCell ref="Y79:AA79"/>
    <mergeCell ref="T80:AA80"/>
    <mergeCell ref="A96:A97"/>
    <mergeCell ref="B96:C97"/>
    <mergeCell ref="D96:E97"/>
    <mergeCell ref="F96:F97"/>
    <mergeCell ref="G96:J96"/>
    <mergeCell ref="K96:L97"/>
    <mergeCell ref="C88:H88"/>
    <mergeCell ref="X90:Y90"/>
    <mergeCell ref="X91:Y91"/>
    <mergeCell ref="B94:D94"/>
    <mergeCell ref="A95:O95"/>
    <mergeCell ref="P95:R95"/>
    <mergeCell ref="S95:AA95"/>
    <mergeCell ref="V96:V97"/>
    <mergeCell ref="W96:W97"/>
    <mergeCell ref="X96:X97"/>
    <mergeCell ref="Y96:AA97"/>
    <mergeCell ref="G97:H97"/>
    <mergeCell ref="I97:J97"/>
    <mergeCell ref="M96:O97"/>
    <mergeCell ref="P96:P97"/>
    <mergeCell ref="Q96:Q97"/>
    <mergeCell ref="R96:R97"/>
    <mergeCell ref="S96:T97"/>
    <mergeCell ref="U96:U97"/>
    <mergeCell ref="S98:T98"/>
    <mergeCell ref="Y98:AA98"/>
    <mergeCell ref="B99:C99"/>
    <mergeCell ref="D99:E99"/>
    <mergeCell ref="G99:H99"/>
    <mergeCell ref="I99:J99"/>
    <mergeCell ref="K99:L99"/>
    <mergeCell ref="M99:O99"/>
    <mergeCell ref="S99:T99"/>
    <mergeCell ref="Y99:AA99"/>
    <mergeCell ref="B98:C98"/>
    <mergeCell ref="D98:E98"/>
    <mergeCell ref="G98:H98"/>
    <mergeCell ref="I98:J98"/>
    <mergeCell ref="K98:L98"/>
    <mergeCell ref="M98:O98"/>
    <mergeCell ref="S100:T100"/>
    <mergeCell ref="Y100:AA100"/>
    <mergeCell ref="B101:C101"/>
    <mergeCell ref="D101:E101"/>
    <mergeCell ref="G101:H101"/>
    <mergeCell ref="I101:J101"/>
    <mergeCell ref="K101:L101"/>
    <mergeCell ref="M101:O101"/>
    <mergeCell ref="S101:T101"/>
    <mergeCell ref="Y101:AA101"/>
    <mergeCell ref="B100:C100"/>
    <mergeCell ref="D100:E100"/>
    <mergeCell ref="G100:H100"/>
    <mergeCell ref="I100:J100"/>
    <mergeCell ref="K100:L100"/>
    <mergeCell ref="M100:O100"/>
    <mergeCell ref="A104:F104"/>
    <mergeCell ref="G104:H104"/>
    <mergeCell ref="I104:J104"/>
    <mergeCell ref="Y104:AA104"/>
    <mergeCell ref="T106:AA106"/>
    <mergeCell ref="S102:T102"/>
    <mergeCell ref="Y102:AA102"/>
    <mergeCell ref="B103:C103"/>
    <mergeCell ref="D103:E103"/>
    <mergeCell ref="G103:H103"/>
    <mergeCell ref="I103:J103"/>
    <mergeCell ref="K103:L103"/>
    <mergeCell ref="M103:O103"/>
    <mergeCell ref="S103:T103"/>
    <mergeCell ref="Y103:AA103"/>
    <mergeCell ref="B102:C102"/>
    <mergeCell ref="D102:E102"/>
    <mergeCell ref="G102:H102"/>
    <mergeCell ref="I102:J102"/>
    <mergeCell ref="K102:L102"/>
    <mergeCell ref="M102:O102"/>
  </mergeCells>
  <phoneticPr fontId="3"/>
  <pageMargins left="0.78740157480314965" right="0.19685039370078741" top="0.39370078740157483" bottom="0.31496062992125984" header="0.51181102362204722" footer="0.51181102362204722"/>
  <pageSetup paperSize="8"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C9AC0-DA5B-4A76-A1FA-18011D387972}">
  <sheetPr codeName="Sheet12"/>
  <dimension ref="A1:N38"/>
  <sheetViews>
    <sheetView workbookViewId="0">
      <selection activeCell="L39" sqref="L39"/>
    </sheetView>
  </sheetViews>
  <sheetFormatPr defaultRowHeight="13.5" x14ac:dyDescent="0.15"/>
  <cols>
    <col min="1" max="1" width="10.25" style="280" bestFit="1" customWidth="1"/>
    <col min="2" max="2" width="18.625" style="280" customWidth="1"/>
    <col min="3" max="6" width="9" style="280"/>
    <col min="7" max="7" width="10.25" style="280" bestFit="1" customWidth="1"/>
    <col min="8" max="9" width="9.625" style="280" customWidth="1"/>
    <col min="10" max="13" width="10.5" style="280" bestFit="1" customWidth="1"/>
    <col min="14" max="14" width="10.5" style="280" customWidth="1"/>
    <col min="15" max="256" width="9" style="280"/>
    <col min="257" max="257" width="10.25" style="280" bestFit="1" customWidth="1"/>
    <col min="258" max="258" width="18.625" style="280" customWidth="1"/>
    <col min="259" max="262" width="9" style="280"/>
    <col min="263" max="263" width="10.25" style="280" bestFit="1" customWidth="1"/>
    <col min="264" max="265" width="9.625" style="280" customWidth="1"/>
    <col min="266" max="269" width="10.5" style="280" bestFit="1" customWidth="1"/>
    <col min="270" max="270" width="10.5" style="280" customWidth="1"/>
    <col min="271" max="512" width="9" style="280"/>
    <col min="513" max="513" width="10.25" style="280" bestFit="1" customWidth="1"/>
    <col min="514" max="514" width="18.625" style="280" customWidth="1"/>
    <col min="515" max="518" width="9" style="280"/>
    <col min="519" max="519" width="10.25" style="280" bestFit="1" customWidth="1"/>
    <col min="520" max="521" width="9.625" style="280" customWidth="1"/>
    <col min="522" max="525" width="10.5" style="280" bestFit="1" customWidth="1"/>
    <col min="526" max="526" width="10.5" style="280" customWidth="1"/>
    <col min="527" max="768" width="9" style="280"/>
    <col min="769" max="769" width="10.25" style="280" bestFit="1" customWidth="1"/>
    <col min="770" max="770" width="18.625" style="280" customWidth="1"/>
    <col min="771" max="774" width="9" style="280"/>
    <col min="775" max="775" width="10.25" style="280" bestFit="1" customWidth="1"/>
    <col min="776" max="777" width="9.625" style="280" customWidth="1"/>
    <col min="778" max="781" width="10.5" style="280" bestFit="1" customWidth="1"/>
    <col min="782" max="782" width="10.5" style="280" customWidth="1"/>
    <col min="783" max="1024" width="9" style="280"/>
    <col min="1025" max="1025" width="10.25" style="280" bestFit="1" customWidth="1"/>
    <col min="1026" max="1026" width="18.625" style="280" customWidth="1"/>
    <col min="1027" max="1030" width="9" style="280"/>
    <col min="1031" max="1031" width="10.25" style="280" bestFit="1" customWidth="1"/>
    <col min="1032" max="1033" width="9.625" style="280" customWidth="1"/>
    <col min="1034" max="1037" width="10.5" style="280" bestFit="1" customWidth="1"/>
    <col min="1038" max="1038" width="10.5" style="280" customWidth="1"/>
    <col min="1039" max="1280" width="9" style="280"/>
    <col min="1281" max="1281" width="10.25" style="280" bestFit="1" customWidth="1"/>
    <col min="1282" max="1282" width="18.625" style="280" customWidth="1"/>
    <col min="1283" max="1286" width="9" style="280"/>
    <col min="1287" max="1287" width="10.25" style="280" bestFit="1" customWidth="1"/>
    <col min="1288" max="1289" width="9.625" style="280" customWidth="1"/>
    <col min="1290" max="1293" width="10.5" style="280" bestFit="1" customWidth="1"/>
    <col min="1294" max="1294" width="10.5" style="280" customWidth="1"/>
    <col min="1295" max="1536" width="9" style="280"/>
    <col min="1537" max="1537" width="10.25" style="280" bestFit="1" customWidth="1"/>
    <col min="1538" max="1538" width="18.625" style="280" customWidth="1"/>
    <col min="1539" max="1542" width="9" style="280"/>
    <col min="1543" max="1543" width="10.25" style="280" bestFit="1" customWidth="1"/>
    <col min="1544" max="1545" width="9.625" style="280" customWidth="1"/>
    <col min="1546" max="1549" width="10.5" style="280" bestFit="1" customWidth="1"/>
    <col min="1550" max="1550" width="10.5" style="280" customWidth="1"/>
    <col min="1551" max="1792" width="9" style="280"/>
    <col min="1793" max="1793" width="10.25" style="280" bestFit="1" customWidth="1"/>
    <col min="1794" max="1794" width="18.625" style="280" customWidth="1"/>
    <col min="1795" max="1798" width="9" style="280"/>
    <col min="1799" max="1799" width="10.25" style="280" bestFit="1" customWidth="1"/>
    <col min="1800" max="1801" width="9.625" style="280" customWidth="1"/>
    <col min="1802" max="1805" width="10.5" style="280" bestFit="1" customWidth="1"/>
    <col min="1806" max="1806" width="10.5" style="280" customWidth="1"/>
    <col min="1807" max="2048" width="9" style="280"/>
    <col min="2049" max="2049" width="10.25" style="280" bestFit="1" customWidth="1"/>
    <col min="2050" max="2050" width="18.625" style="280" customWidth="1"/>
    <col min="2051" max="2054" width="9" style="280"/>
    <col min="2055" max="2055" width="10.25" style="280" bestFit="1" customWidth="1"/>
    <col min="2056" max="2057" width="9.625" style="280" customWidth="1"/>
    <col min="2058" max="2061" width="10.5" style="280" bestFit="1" customWidth="1"/>
    <col min="2062" max="2062" width="10.5" style="280" customWidth="1"/>
    <col min="2063" max="2304" width="9" style="280"/>
    <col min="2305" max="2305" width="10.25" style="280" bestFit="1" customWidth="1"/>
    <col min="2306" max="2306" width="18.625" style="280" customWidth="1"/>
    <col min="2307" max="2310" width="9" style="280"/>
    <col min="2311" max="2311" width="10.25" style="280" bestFit="1" customWidth="1"/>
    <col min="2312" max="2313" width="9.625" style="280" customWidth="1"/>
    <col min="2314" max="2317" width="10.5" style="280" bestFit="1" customWidth="1"/>
    <col min="2318" max="2318" width="10.5" style="280" customWidth="1"/>
    <col min="2319" max="2560" width="9" style="280"/>
    <col min="2561" max="2561" width="10.25" style="280" bestFit="1" customWidth="1"/>
    <col min="2562" max="2562" width="18.625" style="280" customWidth="1"/>
    <col min="2563" max="2566" width="9" style="280"/>
    <col min="2567" max="2567" width="10.25" style="280" bestFit="1" customWidth="1"/>
    <col min="2568" max="2569" width="9.625" style="280" customWidth="1"/>
    <col min="2570" max="2573" width="10.5" style="280" bestFit="1" customWidth="1"/>
    <col min="2574" max="2574" width="10.5" style="280" customWidth="1"/>
    <col min="2575" max="2816" width="9" style="280"/>
    <col min="2817" max="2817" width="10.25" style="280" bestFit="1" customWidth="1"/>
    <col min="2818" max="2818" width="18.625" style="280" customWidth="1"/>
    <col min="2819" max="2822" width="9" style="280"/>
    <col min="2823" max="2823" width="10.25" style="280" bestFit="1" customWidth="1"/>
    <col min="2824" max="2825" width="9.625" style="280" customWidth="1"/>
    <col min="2826" max="2829" width="10.5" style="280" bestFit="1" customWidth="1"/>
    <col min="2830" max="2830" width="10.5" style="280" customWidth="1"/>
    <col min="2831" max="3072" width="9" style="280"/>
    <col min="3073" max="3073" width="10.25" style="280" bestFit="1" customWidth="1"/>
    <col min="3074" max="3074" width="18.625" style="280" customWidth="1"/>
    <col min="3075" max="3078" width="9" style="280"/>
    <col min="3079" max="3079" width="10.25" style="280" bestFit="1" customWidth="1"/>
    <col min="3080" max="3081" width="9.625" style="280" customWidth="1"/>
    <col min="3082" max="3085" width="10.5" style="280" bestFit="1" customWidth="1"/>
    <col min="3086" max="3086" width="10.5" style="280" customWidth="1"/>
    <col min="3087" max="3328" width="9" style="280"/>
    <col min="3329" max="3329" width="10.25" style="280" bestFit="1" customWidth="1"/>
    <col min="3330" max="3330" width="18.625" style="280" customWidth="1"/>
    <col min="3331" max="3334" width="9" style="280"/>
    <col min="3335" max="3335" width="10.25" style="280" bestFit="1" customWidth="1"/>
    <col min="3336" max="3337" width="9.625" style="280" customWidth="1"/>
    <col min="3338" max="3341" width="10.5" style="280" bestFit="1" customWidth="1"/>
    <col min="3342" max="3342" width="10.5" style="280" customWidth="1"/>
    <col min="3343" max="3584" width="9" style="280"/>
    <col min="3585" max="3585" width="10.25" style="280" bestFit="1" customWidth="1"/>
    <col min="3586" max="3586" width="18.625" style="280" customWidth="1"/>
    <col min="3587" max="3590" width="9" style="280"/>
    <col min="3591" max="3591" width="10.25" style="280" bestFit="1" customWidth="1"/>
    <col min="3592" max="3593" width="9.625" style="280" customWidth="1"/>
    <col min="3594" max="3597" width="10.5" style="280" bestFit="1" customWidth="1"/>
    <col min="3598" max="3598" width="10.5" style="280" customWidth="1"/>
    <col min="3599" max="3840" width="9" style="280"/>
    <col min="3841" max="3841" width="10.25" style="280" bestFit="1" customWidth="1"/>
    <col min="3842" max="3842" width="18.625" style="280" customWidth="1"/>
    <col min="3843" max="3846" width="9" style="280"/>
    <col min="3847" max="3847" width="10.25" style="280" bestFit="1" customWidth="1"/>
    <col min="3848" max="3849" width="9.625" style="280" customWidth="1"/>
    <col min="3850" max="3853" width="10.5" style="280" bestFit="1" customWidth="1"/>
    <col min="3854" max="3854" width="10.5" style="280" customWidth="1"/>
    <col min="3855" max="4096" width="9" style="280"/>
    <col min="4097" max="4097" width="10.25" style="280" bestFit="1" customWidth="1"/>
    <col min="4098" max="4098" width="18.625" style="280" customWidth="1"/>
    <col min="4099" max="4102" width="9" style="280"/>
    <col min="4103" max="4103" width="10.25" style="280" bestFit="1" customWidth="1"/>
    <col min="4104" max="4105" width="9.625" style="280" customWidth="1"/>
    <col min="4106" max="4109" width="10.5" style="280" bestFit="1" customWidth="1"/>
    <col min="4110" max="4110" width="10.5" style="280" customWidth="1"/>
    <col min="4111" max="4352" width="9" style="280"/>
    <col min="4353" max="4353" width="10.25" style="280" bestFit="1" customWidth="1"/>
    <col min="4354" max="4354" width="18.625" style="280" customWidth="1"/>
    <col min="4355" max="4358" width="9" style="280"/>
    <col min="4359" max="4359" width="10.25" style="280" bestFit="1" customWidth="1"/>
    <col min="4360" max="4361" width="9.625" style="280" customWidth="1"/>
    <col min="4362" max="4365" width="10.5" style="280" bestFit="1" customWidth="1"/>
    <col min="4366" max="4366" width="10.5" style="280" customWidth="1"/>
    <col min="4367" max="4608" width="9" style="280"/>
    <col min="4609" max="4609" width="10.25" style="280" bestFit="1" customWidth="1"/>
    <col min="4610" max="4610" width="18.625" style="280" customWidth="1"/>
    <col min="4611" max="4614" width="9" style="280"/>
    <col min="4615" max="4615" width="10.25" style="280" bestFit="1" customWidth="1"/>
    <col min="4616" max="4617" width="9.625" style="280" customWidth="1"/>
    <col min="4618" max="4621" width="10.5" style="280" bestFit="1" customWidth="1"/>
    <col min="4622" max="4622" width="10.5" style="280" customWidth="1"/>
    <col min="4623" max="4864" width="9" style="280"/>
    <col min="4865" max="4865" width="10.25" style="280" bestFit="1" customWidth="1"/>
    <col min="4866" max="4866" width="18.625" style="280" customWidth="1"/>
    <col min="4867" max="4870" width="9" style="280"/>
    <col min="4871" max="4871" width="10.25" style="280" bestFit="1" customWidth="1"/>
    <col min="4872" max="4873" width="9.625" style="280" customWidth="1"/>
    <col min="4874" max="4877" width="10.5" style="280" bestFit="1" customWidth="1"/>
    <col min="4878" max="4878" width="10.5" style="280" customWidth="1"/>
    <col min="4879" max="5120" width="9" style="280"/>
    <col min="5121" max="5121" width="10.25" style="280" bestFit="1" customWidth="1"/>
    <col min="5122" max="5122" width="18.625" style="280" customWidth="1"/>
    <col min="5123" max="5126" width="9" style="280"/>
    <col min="5127" max="5127" width="10.25" style="280" bestFit="1" customWidth="1"/>
    <col min="5128" max="5129" width="9.625" style="280" customWidth="1"/>
    <col min="5130" max="5133" width="10.5" style="280" bestFit="1" customWidth="1"/>
    <col min="5134" max="5134" width="10.5" style="280" customWidth="1"/>
    <col min="5135" max="5376" width="9" style="280"/>
    <col min="5377" max="5377" width="10.25" style="280" bestFit="1" customWidth="1"/>
    <col min="5378" max="5378" width="18.625" style="280" customWidth="1"/>
    <col min="5379" max="5382" width="9" style="280"/>
    <col min="5383" max="5383" width="10.25" style="280" bestFit="1" customWidth="1"/>
    <col min="5384" max="5385" width="9.625" style="280" customWidth="1"/>
    <col min="5386" max="5389" width="10.5" style="280" bestFit="1" customWidth="1"/>
    <col min="5390" max="5390" width="10.5" style="280" customWidth="1"/>
    <col min="5391" max="5632" width="9" style="280"/>
    <col min="5633" max="5633" width="10.25" style="280" bestFit="1" customWidth="1"/>
    <col min="5634" max="5634" width="18.625" style="280" customWidth="1"/>
    <col min="5635" max="5638" width="9" style="280"/>
    <col min="5639" max="5639" width="10.25" style="280" bestFit="1" customWidth="1"/>
    <col min="5640" max="5641" width="9.625" style="280" customWidth="1"/>
    <col min="5642" max="5645" width="10.5" style="280" bestFit="1" customWidth="1"/>
    <col min="5646" max="5646" width="10.5" style="280" customWidth="1"/>
    <col min="5647" max="5888" width="9" style="280"/>
    <col min="5889" max="5889" width="10.25" style="280" bestFit="1" customWidth="1"/>
    <col min="5890" max="5890" width="18.625" style="280" customWidth="1"/>
    <col min="5891" max="5894" width="9" style="280"/>
    <col min="5895" max="5895" width="10.25" style="280" bestFit="1" customWidth="1"/>
    <col min="5896" max="5897" width="9.625" style="280" customWidth="1"/>
    <col min="5898" max="5901" width="10.5" style="280" bestFit="1" customWidth="1"/>
    <col min="5902" max="5902" width="10.5" style="280" customWidth="1"/>
    <col min="5903" max="6144" width="9" style="280"/>
    <col min="6145" max="6145" width="10.25" style="280" bestFit="1" customWidth="1"/>
    <col min="6146" max="6146" width="18.625" style="280" customWidth="1"/>
    <col min="6147" max="6150" width="9" style="280"/>
    <col min="6151" max="6151" width="10.25" style="280" bestFit="1" customWidth="1"/>
    <col min="6152" max="6153" width="9.625" style="280" customWidth="1"/>
    <col min="6154" max="6157" width="10.5" style="280" bestFit="1" customWidth="1"/>
    <col min="6158" max="6158" width="10.5" style="280" customWidth="1"/>
    <col min="6159" max="6400" width="9" style="280"/>
    <col min="6401" max="6401" width="10.25" style="280" bestFit="1" customWidth="1"/>
    <col min="6402" max="6402" width="18.625" style="280" customWidth="1"/>
    <col min="6403" max="6406" width="9" style="280"/>
    <col min="6407" max="6407" width="10.25" style="280" bestFit="1" customWidth="1"/>
    <col min="6408" max="6409" width="9.625" style="280" customWidth="1"/>
    <col min="6410" max="6413" width="10.5" style="280" bestFit="1" customWidth="1"/>
    <col min="6414" max="6414" width="10.5" style="280" customWidth="1"/>
    <col min="6415" max="6656" width="9" style="280"/>
    <col min="6657" max="6657" width="10.25" style="280" bestFit="1" customWidth="1"/>
    <col min="6658" max="6658" width="18.625" style="280" customWidth="1"/>
    <col min="6659" max="6662" width="9" style="280"/>
    <col min="6663" max="6663" width="10.25" style="280" bestFit="1" customWidth="1"/>
    <col min="6664" max="6665" width="9.625" style="280" customWidth="1"/>
    <col min="6666" max="6669" width="10.5" style="280" bestFit="1" customWidth="1"/>
    <col min="6670" max="6670" width="10.5" style="280" customWidth="1"/>
    <col min="6671" max="6912" width="9" style="280"/>
    <col min="6913" max="6913" width="10.25" style="280" bestFit="1" customWidth="1"/>
    <col min="6914" max="6914" width="18.625" style="280" customWidth="1"/>
    <col min="6915" max="6918" width="9" style="280"/>
    <col min="6919" max="6919" width="10.25" style="280" bestFit="1" customWidth="1"/>
    <col min="6920" max="6921" width="9.625" style="280" customWidth="1"/>
    <col min="6922" max="6925" width="10.5" style="280" bestFit="1" customWidth="1"/>
    <col min="6926" max="6926" width="10.5" style="280" customWidth="1"/>
    <col min="6927" max="7168" width="9" style="280"/>
    <col min="7169" max="7169" width="10.25" style="280" bestFit="1" customWidth="1"/>
    <col min="7170" max="7170" width="18.625" style="280" customWidth="1"/>
    <col min="7171" max="7174" width="9" style="280"/>
    <col min="7175" max="7175" width="10.25" style="280" bestFit="1" customWidth="1"/>
    <col min="7176" max="7177" width="9.625" style="280" customWidth="1"/>
    <col min="7178" max="7181" width="10.5" style="280" bestFit="1" customWidth="1"/>
    <col min="7182" max="7182" width="10.5" style="280" customWidth="1"/>
    <col min="7183" max="7424" width="9" style="280"/>
    <col min="7425" max="7425" width="10.25" style="280" bestFit="1" customWidth="1"/>
    <col min="7426" max="7426" width="18.625" style="280" customWidth="1"/>
    <col min="7427" max="7430" width="9" style="280"/>
    <col min="7431" max="7431" width="10.25" style="280" bestFit="1" customWidth="1"/>
    <col min="7432" max="7433" width="9.625" style="280" customWidth="1"/>
    <col min="7434" max="7437" width="10.5" style="280" bestFit="1" customWidth="1"/>
    <col min="7438" max="7438" width="10.5" style="280" customWidth="1"/>
    <col min="7439" max="7680" width="9" style="280"/>
    <col min="7681" max="7681" width="10.25" style="280" bestFit="1" customWidth="1"/>
    <col min="7682" max="7682" width="18.625" style="280" customWidth="1"/>
    <col min="7683" max="7686" width="9" style="280"/>
    <col min="7687" max="7687" width="10.25" style="280" bestFit="1" customWidth="1"/>
    <col min="7688" max="7689" width="9.625" style="280" customWidth="1"/>
    <col min="7690" max="7693" width="10.5" style="280" bestFit="1" customWidth="1"/>
    <col min="7694" max="7694" width="10.5" style="280" customWidth="1"/>
    <col min="7695" max="7936" width="9" style="280"/>
    <col min="7937" max="7937" width="10.25" style="280" bestFit="1" customWidth="1"/>
    <col min="7938" max="7938" width="18.625" style="280" customWidth="1"/>
    <col min="7939" max="7942" width="9" style="280"/>
    <col min="7943" max="7943" width="10.25" style="280" bestFit="1" customWidth="1"/>
    <col min="7944" max="7945" width="9.625" style="280" customWidth="1"/>
    <col min="7946" max="7949" width="10.5" style="280" bestFit="1" customWidth="1"/>
    <col min="7950" max="7950" width="10.5" style="280" customWidth="1"/>
    <col min="7951" max="8192" width="9" style="280"/>
    <col min="8193" max="8193" width="10.25" style="280" bestFit="1" customWidth="1"/>
    <col min="8194" max="8194" width="18.625" style="280" customWidth="1"/>
    <col min="8195" max="8198" width="9" style="280"/>
    <col min="8199" max="8199" width="10.25" style="280" bestFit="1" customWidth="1"/>
    <col min="8200" max="8201" width="9.625" style="280" customWidth="1"/>
    <col min="8202" max="8205" width="10.5" style="280" bestFit="1" customWidth="1"/>
    <col min="8206" max="8206" width="10.5" style="280" customWidth="1"/>
    <col min="8207" max="8448" width="9" style="280"/>
    <col min="8449" max="8449" width="10.25" style="280" bestFit="1" customWidth="1"/>
    <col min="8450" max="8450" width="18.625" style="280" customWidth="1"/>
    <col min="8451" max="8454" width="9" style="280"/>
    <col min="8455" max="8455" width="10.25" style="280" bestFit="1" customWidth="1"/>
    <col min="8456" max="8457" width="9.625" style="280" customWidth="1"/>
    <col min="8458" max="8461" width="10.5" style="280" bestFit="1" customWidth="1"/>
    <col min="8462" max="8462" width="10.5" style="280" customWidth="1"/>
    <col min="8463" max="8704" width="9" style="280"/>
    <col min="8705" max="8705" width="10.25" style="280" bestFit="1" customWidth="1"/>
    <col min="8706" max="8706" width="18.625" style="280" customWidth="1"/>
    <col min="8707" max="8710" width="9" style="280"/>
    <col min="8711" max="8711" width="10.25" style="280" bestFit="1" customWidth="1"/>
    <col min="8712" max="8713" width="9.625" style="280" customWidth="1"/>
    <col min="8714" max="8717" width="10.5" style="280" bestFit="1" customWidth="1"/>
    <col min="8718" max="8718" width="10.5" style="280" customWidth="1"/>
    <col min="8719" max="8960" width="9" style="280"/>
    <col min="8961" max="8961" width="10.25" style="280" bestFit="1" customWidth="1"/>
    <col min="8962" max="8962" width="18.625" style="280" customWidth="1"/>
    <col min="8963" max="8966" width="9" style="280"/>
    <col min="8967" max="8967" width="10.25" style="280" bestFit="1" customWidth="1"/>
    <col min="8968" max="8969" width="9.625" style="280" customWidth="1"/>
    <col min="8970" max="8973" width="10.5" style="280" bestFit="1" customWidth="1"/>
    <col min="8974" max="8974" width="10.5" style="280" customWidth="1"/>
    <col min="8975" max="9216" width="9" style="280"/>
    <col min="9217" max="9217" width="10.25" style="280" bestFit="1" customWidth="1"/>
    <col min="9218" max="9218" width="18.625" style="280" customWidth="1"/>
    <col min="9219" max="9222" width="9" style="280"/>
    <col min="9223" max="9223" width="10.25" style="280" bestFit="1" customWidth="1"/>
    <col min="9224" max="9225" width="9.625" style="280" customWidth="1"/>
    <col min="9226" max="9229" width="10.5" style="280" bestFit="1" customWidth="1"/>
    <col min="9230" max="9230" width="10.5" style="280" customWidth="1"/>
    <col min="9231" max="9472" width="9" style="280"/>
    <col min="9473" max="9473" width="10.25" style="280" bestFit="1" customWidth="1"/>
    <col min="9474" max="9474" width="18.625" style="280" customWidth="1"/>
    <col min="9475" max="9478" width="9" style="280"/>
    <col min="9479" max="9479" width="10.25" style="280" bestFit="1" customWidth="1"/>
    <col min="9480" max="9481" width="9.625" style="280" customWidth="1"/>
    <col min="9482" max="9485" width="10.5" style="280" bestFit="1" customWidth="1"/>
    <col min="9486" max="9486" width="10.5" style="280" customWidth="1"/>
    <col min="9487" max="9728" width="9" style="280"/>
    <col min="9729" max="9729" width="10.25" style="280" bestFit="1" customWidth="1"/>
    <col min="9730" max="9730" width="18.625" style="280" customWidth="1"/>
    <col min="9731" max="9734" width="9" style="280"/>
    <col min="9735" max="9735" width="10.25" style="280" bestFit="1" customWidth="1"/>
    <col min="9736" max="9737" width="9.625" style="280" customWidth="1"/>
    <col min="9738" max="9741" width="10.5" style="280" bestFit="1" customWidth="1"/>
    <col min="9742" max="9742" width="10.5" style="280" customWidth="1"/>
    <col min="9743" max="9984" width="9" style="280"/>
    <col min="9985" max="9985" width="10.25" style="280" bestFit="1" customWidth="1"/>
    <col min="9986" max="9986" width="18.625" style="280" customWidth="1"/>
    <col min="9987" max="9990" width="9" style="280"/>
    <col min="9991" max="9991" width="10.25" style="280" bestFit="1" customWidth="1"/>
    <col min="9992" max="9993" width="9.625" style="280" customWidth="1"/>
    <col min="9994" max="9997" width="10.5" style="280" bestFit="1" customWidth="1"/>
    <col min="9998" max="9998" width="10.5" style="280" customWidth="1"/>
    <col min="9999" max="10240" width="9" style="280"/>
    <col min="10241" max="10241" width="10.25" style="280" bestFit="1" customWidth="1"/>
    <col min="10242" max="10242" width="18.625" style="280" customWidth="1"/>
    <col min="10243" max="10246" width="9" style="280"/>
    <col min="10247" max="10247" width="10.25" style="280" bestFit="1" customWidth="1"/>
    <col min="10248" max="10249" width="9.625" style="280" customWidth="1"/>
    <col min="10250" max="10253" width="10.5" style="280" bestFit="1" customWidth="1"/>
    <col min="10254" max="10254" width="10.5" style="280" customWidth="1"/>
    <col min="10255" max="10496" width="9" style="280"/>
    <col min="10497" max="10497" width="10.25" style="280" bestFit="1" customWidth="1"/>
    <col min="10498" max="10498" width="18.625" style="280" customWidth="1"/>
    <col min="10499" max="10502" width="9" style="280"/>
    <col min="10503" max="10503" width="10.25" style="280" bestFit="1" customWidth="1"/>
    <col min="10504" max="10505" width="9.625" style="280" customWidth="1"/>
    <col min="10506" max="10509" width="10.5" style="280" bestFit="1" customWidth="1"/>
    <col min="10510" max="10510" width="10.5" style="280" customWidth="1"/>
    <col min="10511" max="10752" width="9" style="280"/>
    <col min="10753" max="10753" width="10.25" style="280" bestFit="1" customWidth="1"/>
    <col min="10754" max="10754" width="18.625" style="280" customWidth="1"/>
    <col min="10755" max="10758" width="9" style="280"/>
    <col min="10759" max="10759" width="10.25" style="280" bestFit="1" customWidth="1"/>
    <col min="10760" max="10761" width="9.625" style="280" customWidth="1"/>
    <col min="10762" max="10765" width="10.5" style="280" bestFit="1" customWidth="1"/>
    <col min="10766" max="10766" width="10.5" style="280" customWidth="1"/>
    <col min="10767" max="11008" width="9" style="280"/>
    <col min="11009" max="11009" width="10.25" style="280" bestFit="1" customWidth="1"/>
    <col min="11010" max="11010" width="18.625" style="280" customWidth="1"/>
    <col min="11011" max="11014" width="9" style="280"/>
    <col min="11015" max="11015" width="10.25" style="280" bestFit="1" customWidth="1"/>
    <col min="11016" max="11017" width="9.625" style="280" customWidth="1"/>
    <col min="11018" max="11021" width="10.5" style="280" bestFit="1" customWidth="1"/>
    <col min="11022" max="11022" width="10.5" style="280" customWidth="1"/>
    <col min="11023" max="11264" width="9" style="280"/>
    <col min="11265" max="11265" width="10.25" style="280" bestFit="1" customWidth="1"/>
    <col min="11266" max="11266" width="18.625" style="280" customWidth="1"/>
    <col min="11267" max="11270" width="9" style="280"/>
    <col min="11271" max="11271" width="10.25" style="280" bestFit="1" customWidth="1"/>
    <col min="11272" max="11273" width="9.625" style="280" customWidth="1"/>
    <col min="11274" max="11277" width="10.5" style="280" bestFit="1" customWidth="1"/>
    <col min="11278" max="11278" width="10.5" style="280" customWidth="1"/>
    <col min="11279" max="11520" width="9" style="280"/>
    <col min="11521" max="11521" width="10.25" style="280" bestFit="1" customWidth="1"/>
    <col min="11522" max="11522" width="18.625" style="280" customWidth="1"/>
    <col min="11523" max="11526" width="9" style="280"/>
    <col min="11527" max="11527" width="10.25" style="280" bestFit="1" customWidth="1"/>
    <col min="11528" max="11529" width="9.625" style="280" customWidth="1"/>
    <col min="11530" max="11533" width="10.5" style="280" bestFit="1" customWidth="1"/>
    <col min="11534" max="11534" width="10.5" style="280" customWidth="1"/>
    <col min="11535" max="11776" width="9" style="280"/>
    <col min="11777" max="11777" width="10.25" style="280" bestFit="1" customWidth="1"/>
    <col min="11778" max="11778" width="18.625" style="280" customWidth="1"/>
    <col min="11779" max="11782" width="9" style="280"/>
    <col min="11783" max="11783" width="10.25" style="280" bestFit="1" customWidth="1"/>
    <col min="11784" max="11785" width="9.625" style="280" customWidth="1"/>
    <col min="11786" max="11789" width="10.5" style="280" bestFit="1" customWidth="1"/>
    <col min="11790" max="11790" width="10.5" style="280" customWidth="1"/>
    <col min="11791" max="12032" width="9" style="280"/>
    <col min="12033" max="12033" width="10.25" style="280" bestFit="1" customWidth="1"/>
    <col min="12034" max="12034" width="18.625" style="280" customWidth="1"/>
    <col min="12035" max="12038" width="9" style="280"/>
    <col min="12039" max="12039" width="10.25" style="280" bestFit="1" customWidth="1"/>
    <col min="12040" max="12041" width="9.625" style="280" customWidth="1"/>
    <col min="12042" max="12045" width="10.5" style="280" bestFit="1" customWidth="1"/>
    <col min="12046" max="12046" width="10.5" style="280" customWidth="1"/>
    <col min="12047" max="12288" width="9" style="280"/>
    <col min="12289" max="12289" width="10.25" style="280" bestFit="1" customWidth="1"/>
    <col min="12290" max="12290" width="18.625" style="280" customWidth="1"/>
    <col min="12291" max="12294" width="9" style="280"/>
    <col min="12295" max="12295" width="10.25" style="280" bestFit="1" customWidth="1"/>
    <col min="12296" max="12297" width="9.625" style="280" customWidth="1"/>
    <col min="12298" max="12301" width="10.5" style="280" bestFit="1" customWidth="1"/>
    <col min="12302" max="12302" width="10.5" style="280" customWidth="1"/>
    <col min="12303" max="12544" width="9" style="280"/>
    <col min="12545" max="12545" width="10.25" style="280" bestFit="1" customWidth="1"/>
    <col min="12546" max="12546" width="18.625" style="280" customWidth="1"/>
    <col min="12547" max="12550" width="9" style="280"/>
    <col min="12551" max="12551" width="10.25" style="280" bestFit="1" customWidth="1"/>
    <col min="12552" max="12553" width="9.625" style="280" customWidth="1"/>
    <col min="12554" max="12557" width="10.5" style="280" bestFit="1" customWidth="1"/>
    <col min="12558" max="12558" width="10.5" style="280" customWidth="1"/>
    <col min="12559" max="12800" width="9" style="280"/>
    <col min="12801" max="12801" width="10.25" style="280" bestFit="1" customWidth="1"/>
    <col min="12802" max="12802" width="18.625" style="280" customWidth="1"/>
    <col min="12803" max="12806" width="9" style="280"/>
    <col min="12807" max="12807" width="10.25" style="280" bestFit="1" customWidth="1"/>
    <col min="12808" max="12809" width="9.625" style="280" customWidth="1"/>
    <col min="12810" max="12813" width="10.5" style="280" bestFit="1" customWidth="1"/>
    <col min="12814" max="12814" width="10.5" style="280" customWidth="1"/>
    <col min="12815" max="13056" width="9" style="280"/>
    <col min="13057" max="13057" width="10.25" style="280" bestFit="1" customWidth="1"/>
    <col min="13058" max="13058" width="18.625" style="280" customWidth="1"/>
    <col min="13059" max="13062" width="9" style="280"/>
    <col min="13063" max="13063" width="10.25" style="280" bestFit="1" customWidth="1"/>
    <col min="13064" max="13065" width="9.625" style="280" customWidth="1"/>
    <col min="13066" max="13069" width="10.5" style="280" bestFit="1" customWidth="1"/>
    <col min="13070" max="13070" width="10.5" style="280" customWidth="1"/>
    <col min="13071" max="13312" width="9" style="280"/>
    <col min="13313" max="13313" width="10.25" style="280" bestFit="1" customWidth="1"/>
    <col min="13314" max="13314" width="18.625" style="280" customWidth="1"/>
    <col min="13315" max="13318" width="9" style="280"/>
    <col min="13319" max="13319" width="10.25" style="280" bestFit="1" customWidth="1"/>
    <col min="13320" max="13321" width="9.625" style="280" customWidth="1"/>
    <col min="13322" max="13325" width="10.5" style="280" bestFit="1" customWidth="1"/>
    <col min="13326" max="13326" width="10.5" style="280" customWidth="1"/>
    <col min="13327" max="13568" width="9" style="280"/>
    <col min="13569" max="13569" width="10.25" style="280" bestFit="1" customWidth="1"/>
    <col min="13570" max="13570" width="18.625" style="280" customWidth="1"/>
    <col min="13571" max="13574" width="9" style="280"/>
    <col min="13575" max="13575" width="10.25" style="280" bestFit="1" customWidth="1"/>
    <col min="13576" max="13577" width="9.625" style="280" customWidth="1"/>
    <col min="13578" max="13581" width="10.5" style="280" bestFit="1" customWidth="1"/>
    <col min="13582" max="13582" width="10.5" style="280" customWidth="1"/>
    <col min="13583" max="13824" width="9" style="280"/>
    <col min="13825" max="13825" width="10.25" style="280" bestFit="1" customWidth="1"/>
    <col min="13826" max="13826" width="18.625" style="280" customWidth="1"/>
    <col min="13827" max="13830" width="9" style="280"/>
    <col min="13831" max="13831" width="10.25" style="280" bestFit="1" customWidth="1"/>
    <col min="13832" max="13833" width="9.625" style="280" customWidth="1"/>
    <col min="13834" max="13837" width="10.5" style="280" bestFit="1" customWidth="1"/>
    <col min="13838" max="13838" width="10.5" style="280" customWidth="1"/>
    <col min="13839" max="14080" width="9" style="280"/>
    <col min="14081" max="14081" width="10.25" style="280" bestFit="1" customWidth="1"/>
    <col min="14082" max="14082" width="18.625" style="280" customWidth="1"/>
    <col min="14083" max="14086" width="9" style="280"/>
    <col min="14087" max="14087" width="10.25" style="280" bestFit="1" customWidth="1"/>
    <col min="14088" max="14089" width="9.625" style="280" customWidth="1"/>
    <col min="14090" max="14093" width="10.5" style="280" bestFit="1" customWidth="1"/>
    <col min="14094" max="14094" width="10.5" style="280" customWidth="1"/>
    <col min="14095" max="14336" width="9" style="280"/>
    <col min="14337" max="14337" width="10.25" style="280" bestFit="1" customWidth="1"/>
    <col min="14338" max="14338" width="18.625" style="280" customWidth="1"/>
    <col min="14339" max="14342" width="9" style="280"/>
    <col min="14343" max="14343" width="10.25" style="280" bestFit="1" customWidth="1"/>
    <col min="14344" max="14345" width="9.625" style="280" customWidth="1"/>
    <col min="14346" max="14349" width="10.5" style="280" bestFit="1" customWidth="1"/>
    <col min="14350" max="14350" width="10.5" style="280" customWidth="1"/>
    <col min="14351" max="14592" width="9" style="280"/>
    <col min="14593" max="14593" width="10.25" style="280" bestFit="1" customWidth="1"/>
    <col min="14594" max="14594" width="18.625" style="280" customWidth="1"/>
    <col min="14595" max="14598" width="9" style="280"/>
    <col min="14599" max="14599" width="10.25" style="280" bestFit="1" customWidth="1"/>
    <col min="14600" max="14601" width="9.625" style="280" customWidth="1"/>
    <col min="14602" max="14605" width="10.5" style="280" bestFit="1" customWidth="1"/>
    <col min="14606" max="14606" width="10.5" style="280" customWidth="1"/>
    <col min="14607" max="14848" width="9" style="280"/>
    <col min="14849" max="14849" width="10.25" style="280" bestFit="1" customWidth="1"/>
    <col min="14850" max="14850" width="18.625" style="280" customWidth="1"/>
    <col min="14851" max="14854" width="9" style="280"/>
    <col min="14855" max="14855" width="10.25" style="280" bestFit="1" customWidth="1"/>
    <col min="14856" max="14857" width="9.625" style="280" customWidth="1"/>
    <col min="14858" max="14861" width="10.5" style="280" bestFit="1" customWidth="1"/>
    <col min="14862" max="14862" width="10.5" style="280" customWidth="1"/>
    <col min="14863" max="15104" width="9" style="280"/>
    <col min="15105" max="15105" width="10.25" style="280" bestFit="1" customWidth="1"/>
    <col min="15106" max="15106" width="18.625" style="280" customWidth="1"/>
    <col min="15107" max="15110" width="9" style="280"/>
    <col min="15111" max="15111" width="10.25" style="280" bestFit="1" customWidth="1"/>
    <col min="15112" max="15113" width="9.625" style="280" customWidth="1"/>
    <col min="15114" max="15117" width="10.5" style="280" bestFit="1" customWidth="1"/>
    <col min="15118" max="15118" width="10.5" style="280" customWidth="1"/>
    <col min="15119" max="15360" width="9" style="280"/>
    <col min="15361" max="15361" width="10.25" style="280" bestFit="1" customWidth="1"/>
    <col min="15362" max="15362" width="18.625" style="280" customWidth="1"/>
    <col min="15363" max="15366" width="9" style="280"/>
    <col min="15367" max="15367" width="10.25" style="280" bestFit="1" customWidth="1"/>
    <col min="15368" max="15369" width="9.625" style="280" customWidth="1"/>
    <col min="15370" max="15373" width="10.5" style="280" bestFit="1" customWidth="1"/>
    <col min="15374" max="15374" width="10.5" style="280" customWidth="1"/>
    <col min="15375" max="15616" width="9" style="280"/>
    <col min="15617" max="15617" width="10.25" style="280" bestFit="1" customWidth="1"/>
    <col min="15618" max="15618" width="18.625" style="280" customWidth="1"/>
    <col min="15619" max="15622" width="9" style="280"/>
    <col min="15623" max="15623" width="10.25" style="280" bestFit="1" customWidth="1"/>
    <col min="15624" max="15625" width="9.625" style="280" customWidth="1"/>
    <col min="15626" max="15629" width="10.5" style="280" bestFit="1" customWidth="1"/>
    <col min="15630" max="15630" width="10.5" style="280" customWidth="1"/>
    <col min="15631" max="15872" width="9" style="280"/>
    <col min="15873" max="15873" width="10.25" style="280" bestFit="1" customWidth="1"/>
    <col min="15874" max="15874" width="18.625" style="280" customWidth="1"/>
    <col min="15875" max="15878" width="9" style="280"/>
    <col min="15879" max="15879" width="10.25" style="280" bestFit="1" customWidth="1"/>
    <col min="15880" max="15881" width="9.625" style="280" customWidth="1"/>
    <col min="15882" max="15885" width="10.5" style="280" bestFit="1" customWidth="1"/>
    <col min="15886" max="15886" width="10.5" style="280" customWidth="1"/>
    <col min="15887" max="16128" width="9" style="280"/>
    <col min="16129" max="16129" width="10.25" style="280" bestFit="1" customWidth="1"/>
    <col min="16130" max="16130" width="18.625" style="280" customWidth="1"/>
    <col min="16131" max="16134" width="9" style="280"/>
    <col min="16135" max="16135" width="10.25" style="280" bestFit="1" customWidth="1"/>
    <col min="16136" max="16137" width="9.625" style="280" customWidth="1"/>
    <col min="16138" max="16141" width="10.5" style="280" bestFit="1" customWidth="1"/>
    <col min="16142" max="16142" width="10.5" style="280" customWidth="1"/>
    <col min="16143" max="16384" width="9" style="280"/>
  </cols>
  <sheetData>
    <row r="1" spans="1:14" x14ac:dyDescent="0.15">
      <c r="A1" s="278" t="s">
        <v>166</v>
      </c>
      <c r="B1" s="665">
        <v>39446</v>
      </c>
      <c r="C1" s="665"/>
      <c r="D1" s="665"/>
      <c r="E1" s="665"/>
      <c r="F1" s="665"/>
      <c r="G1" s="278" t="s">
        <v>167</v>
      </c>
      <c r="H1" s="665" t="s">
        <v>168</v>
      </c>
      <c r="I1" s="665"/>
      <c r="J1" s="667" t="s">
        <v>169</v>
      </c>
      <c r="K1" s="667"/>
      <c r="L1" s="668"/>
      <c r="M1" s="668"/>
    </row>
    <row r="2" spans="1:14" x14ac:dyDescent="0.15">
      <c r="A2" s="278" t="s">
        <v>170</v>
      </c>
      <c r="B2" s="667"/>
      <c r="C2" s="667"/>
      <c r="D2" s="667"/>
      <c r="E2" s="667"/>
      <c r="F2" s="667"/>
      <c r="G2" s="278" t="s">
        <v>171</v>
      </c>
      <c r="H2" s="665" t="s">
        <v>168</v>
      </c>
      <c r="I2" s="665"/>
      <c r="J2" s="667" t="s">
        <v>172</v>
      </c>
      <c r="K2" s="667"/>
      <c r="L2" s="669"/>
      <c r="M2" s="670"/>
    </row>
    <row r="3" spans="1:14" x14ac:dyDescent="0.15">
      <c r="A3" s="278" t="s">
        <v>15</v>
      </c>
      <c r="B3" s="665" t="s">
        <v>173</v>
      </c>
      <c r="C3" s="665"/>
      <c r="D3" s="665"/>
      <c r="E3" s="665"/>
      <c r="F3" s="665"/>
      <c r="G3" s="278" t="s">
        <v>174</v>
      </c>
      <c r="H3" s="665" t="s">
        <v>175</v>
      </c>
      <c r="I3" s="665"/>
    </row>
    <row r="4" spans="1:14" x14ac:dyDescent="0.15">
      <c r="D4" s="281"/>
    </row>
    <row r="5" spans="1:14" s="283" customFormat="1" ht="27" x14ac:dyDescent="0.15">
      <c r="A5" s="282" t="s">
        <v>17</v>
      </c>
      <c r="B5" s="282" t="s">
        <v>18</v>
      </c>
      <c r="C5" s="282" t="s">
        <v>176</v>
      </c>
      <c r="D5" s="282" t="s">
        <v>177</v>
      </c>
      <c r="E5" s="282" t="s">
        <v>24</v>
      </c>
      <c r="F5" s="666" t="s">
        <v>22</v>
      </c>
      <c r="G5" s="666"/>
      <c r="H5" s="282" t="s">
        <v>23</v>
      </c>
      <c r="I5" s="282" t="s">
        <v>43</v>
      </c>
      <c r="J5" s="282" t="s">
        <v>70</v>
      </c>
      <c r="K5" s="282" t="s">
        <v>27</v>
      </c>
      <c r="L5" s="282" t="s">
        <v>28</v>
      </c>
      <c r="M5" s="282" t="s">
        <v>178</v>
      </c>
      <c r="N5" s="282" t="s">
        <v>30</v>
      </c>
    </row>
    <row r="6" spans="1:14" s="288" customFormat="1" ht="13.5" customHeight="1" x14ac:dyDescent="0.15">
      <c r="A6" s="284"/>
      <c r="B6" s="285"/>
      <c r="C6" s="286"/>
      <c r="D6" s="286"/>
      <c r="E6" s="279"/>
      <c r="F6" s="663"/>
      <c r="G6" s="663"/>
      <c r="H6" s="287"/>
      <c r="I6" s="287"/>
      <c r="J6" s="279"/>
      <c r="K6" s="279"/>
      <c r="L6" s="279"/>
      <c r="M6" s="279"/>
      <c r="N6" s="279"/>
    </row>
    <row r="7" spans="1:14" x14ac:dyDescent="0.15">
      <c r="A7" s="284"/>
      <c r="B7" s="285"/>
      <c r="C7" s="286"/>
      <c r="D7" s="286"/>
      <c r="E7" s="279"/>
      <c r="F7" s="663"/>
      <c r="G7" s="663"/>
      <c r="H7" s="287"/>
      <c r="I7" s="287"/>
      <c r="J7" s="279"/>
      <c r="K7" s="279"/>
      <c r="L7" s="279"/>
      <c r="M7" s="279"/>
      <c r="N7" s="279"/>
    </row>
    <row r="8" spans="1:14" x14ac:dyDescent="0.15">
      <c r="A8" s="284"/>
      <c r="B8" s="285"/>
      <c r="C8" s="286"/>
      <c r="D8" s="286"/>
      <c r="E8" s="279"/>
      <c r="F8" s="663"/>
      <c r="G8" s="663"/>
      <c r="H8" s="287"/>
      <c r="I8" s="287"/>
      <c r="J8" s="279"/>
      <c r="K8" s="279"/>
      <c r="L8" s="279"/>
      <c r="M8" s="279"/>
      <c r="N8" s="279"/>
    </row>
    <row r="9" spans="1:14" x14ac:dyDescent="0.15">
      <c r="A9" s="284"/>
      <c r="B9" s="285"/>
      <c r="C9" s="286"/>
      <c r="D9" s="286"/>
      <c r="E9" s="279"/>
      <c r="F9" s="663"/>
      <c r="G9" s="663"/>
      <c r="H9" s="287"/>
      <c r="I9" s="287"/>
      <c r="J9" s="279"/>
      <c r="K9" s="279"/>
      <c r="L9" s="279"/>
      <c r="M9" s="279"/>
      <c r="N9" s="279"/>
    </row>
    <row r="10" spans="1:14" x14ac:dyDescent="0.15">
      <c r="A10" s="284"/>
      <c r="B10" s="285"/>
      <c r="C10" s="286"/>
      <c r="D10" s="286"/>
      <c r="E10" s="279"/>
      <c r="F10" s="663"/>
      <c r="G10" s="663"/>
      <c r="H10" s="287"/>
      <c r="I10" s="287"/>
      <c r="J10" s="279"/>
      <c r="K10" s="279"/>
      <c r="L10" s="279"/>
      <c r="M10" s="279"/>
      <c r="N10" s="279"/>
    </row>
    <row r="11" spans="1:14" x14ac:dyDescent="0.15">
      <c r="A11" s="284"/>
      <c r="B11" s="285"/>
      <c r="C11" s="286"/>
      <c r="D11" s="286"/>
      <c r="E11" s="279"/>
      <c r="F11" s="663"/>
      <c r="G11" s="663"/>
      <c r="H11" s="287"/>
      <c r="I11" s="287"/>
      <c r="J11" s="279"/>
      <c r="K11" s="279"/>
      <c r="L11" s="279"/>
      <c r="M11" s="279"/>
      <c r="N11" s="279"/>
    </row>
    <row r="12" spans="1:14" x14ac:dyDescent="0.15">
      <c r="A12" s="284"/>
      <c r="B12" s="285"/>
      <c r="C12" s="286"/>
      <c r="D12" s="286"/>
      <c r="E12" s="279"/>
      <c r="F12" s="663"/>
      <c r="G12" s="663"/>
      <c r="H12" s="287"/>
      <c r="I12" s="287"/>
      <c r="J12" s="279"/>
      <c r="K12" s="279"/>
      <c r="L12" s="279"/>
      <c r="M12" s="279"/>
      <c r="N12" s="279"/>
    </row>
    <row r="13" spans="1:14" x14ac:dyDescent="0.15">
      <c r="A13" s="284"/>
      <c r="B13" s="285"/>
      <c r="C13" s="286"/>
      <c r="D13" s="286"/>
      <c r="E13" s="279"/>
      <c r="F13" s="663"/>
      <c r="G13" s="663"/>
      <c r="H13" s="287"/>
      <c r="I13" s="287"/>
      <c r="J13" s="279"/>
      <c r="K13" s="279"/>
      <c r="L13" s="279"/>
      <c r="M13" s="279"/>
      <c r="N13" s="279"/>
    </row>
    <row r="14" spans="1:14" x14ac:dyDescent="0.15">
      <c r="A14" s="284"/>
      <c r="B14" s="285"/>
      <c r="C14" s="286"/>
      <c r="D14" s="286"/>
      <c r="E14" s="279"/>
      <c r="F14" s="663"/>
      <c r="G14" s="663"/>
      <c r="H14" s="287"/>
      <c r="I14" s="287"/>
      <c r="J14" s="279"/>
      <c r="K14" s="279"/>
      <c r="L14" s="279"/>
      <c r="M14" s="279"/>
      <c r="N14" s="279"/>
    </row>
    <row r="15" spans="1:14" x14ac:dyDescent="0.15">
      <c r="A15" s="284"/>
      <c r="B15" s="285"/>
      <c r="C15" s="286"/>
      <c r="D15" s="286"/>
      <c r="E15" s="279"/>
      <c r="F15" s="663"/>
      <c r="G15" s="663"/>
      <c r="H15" s="287"/>
      <c r="I15" s="287"/>
      <c r="J15" s="279"/>
      <c r="K15" s="279"/>
      <c r="L15" s="279"/>
      <c r="M15" s="279"/>
      <c r="N15" s="279"/>
    </row>
    <row r="16" spans="1:14" x14ac:dyDescent="0.15">
      <c r="A16" s="284"/>
      <c r="B16" s="285"/>
      <c r="C16" s="286"/>
      <c r="D16" s="286"/>
      <c r="E16" s="279"/>
      <c r="F16" s="663"/>
      <c r="G16" s="663"/>
      <c r="H16" s="287"/>
      <c r="I16" s="287"/>
      <c r="J16" s="279"/>
      <c r="K16" s="279"/>
      <c r="L16" s="279"/>
      <c r="M16" s="279"/>
      <c r="N16" s="279"/>
    </row>
    <row r="17" spans="1:14" x14ac:dyDescent="0.15">
      <c r="A17" s="284"/>
      <c r="B17" s="285"/>
      <c r="C17" s="286"/>
      <c r="D17" s="286"/>
      <c r="E17" s="279"/>
      <c r="F17" s="663"/>
      <c r="G17" s="663"/>
      <c r="H17" s="287"/>
      <c r="I17" s="287"/>
      <c r="J17" s="279"/>
      <c r="K17" s="279"/>
      <c r="L17" s="279"/>
      <c r="M17" s="279"/>
      <c r="N17" s="279"/>
    </row>
    <row r="18" spans="1:14" x14ac:dyDescent="0.15">
      <c r="A18" s="284"/>
      <c r="B18" s="285"/>
      <c r="C18" s="286"/>
      <c r="D18" s="286"/>
      <c r="E18" s="279"/>
      <c r="F18" s="663"/>
      <c r="G18" s="663"/>
      <c r="H18" s="287"/>
      <c r="I18" s="287"/>
      <c r="J18" s="279"/>
      <c r="K18" s="279"/>
      <c r="L18" s="279"/>
      <c r="M18" s="279"/>
      <c r="N18" s="279"/>
    </row>
    <row r="19" spans="1:14" x14ac:dyDescent="0.15">
      <c r="A19" s="284"/>
      <c r="B19" s="285"/>
      <c r="C19" s="286"/>
      <c r="D19" s="286"/>
      <c r="E19" s="279"/>
      <c r="F19" s="663"/>
      <c r="G19" s="663"/>
      <c r="H19" s="287"/>
      <c r="I19" s="287"/>
      <c r="J19" s="279"/>
      <c r="K19" s="279"/>
      <c r="L19" s="279"/>
      <c r="M19" s="279"/>
      <c r="N19" s="279"/>
    </row>
    <row r="20" spans="1:14" x14ac:dyDescent="0.15">
      <c r="A20" s="284"/>
      <c r="B20" s="285"/>
      <c r="C20" s="286"/>
      <c r="D20" s="286"/>
      <c r="E20" s="279"/>
      <c r="F20" s="663"/>
      <c r="G20" s="663"/>
      <c r="H20" s="287"/>
      <c r="I20" s="287"/>
      <c r="J20" s="279"/>
      <c r="K20" s="279"/>
      <c r="L20" s="279"/>
      <c r="M20" s="279"/>
      <c r="N20" s="279"/>
    </row>
    <row r="21" spans="1:14" x14ac:dyDescent="0.15">
      <c r="A21" s="284"/>
      <c r="B21" s="285"/>
      <c r="C21" s="286"/>
      <c r="D21" s="286"/>
      <c r="E21" s="279"/>
      <c r="F21" s="663"/>
      <c r="G21" s="663"/>
      <c r="H21" s="287"/>
      <c r="I21" s="287"/>
      <c r="J21" s="279"/>
      <c r="K21" s="279"/>
      <c r="L21" s="279"/>
      <c r="M21" s="279"/>
      <c r="N21" s="279"/>
    </row>
    <row r="22" spans="1:14" x14ac:dyDescent="0.15">
      <c r="A22" s="284"/>
      <c r="B22" s="285"/>
      <c r="C22" s="286"/>
      <c r="D22" s="286"/>
      <c r="E22" s="279"/>
      <c r="F22" s="663"/>
      <c r="G22" s="663"/>
      <c r="H22" s="287"/>
      <c r="I22" s="287"/>
      <c r="J22" s="279"/>
      <c r="K22" s="279"/>
      <c r="L22" s="279"/>
      <c r="M22" s="279"/>
      <c r="N22" s="279"/>
    </row>
    <row r="23" spans="1:14" x14ac:dyDescent="0.15">
      <c r="A23" s="284"/>
      <c r="B23" s="285"/>
      <c r="C23" s="286"/>
      <c r="D23" s="286"/>
      <c r="E23" s="279"/>
      <c r="F23" s="663"/>
      <c r="G23" s="663"/>
      <c r="H23" s="287"/>
      <c r="I23" s="287"/>
      <c r="J23" s="279"/>
      <c r="K23" s="279"/>
      <c r="L23" s="279"/>
      <c r="M23" s="279"/>
      <c r="N23" s="279"/>
    </row>
    <row r="24" spans="1:14" x14ac:dyDescent="0.15">
      <c r="A24" s="284"/>
      <c r="B24" s="285"/>
      <c r="C24" s="286"/>
      <c r="D24" s="286"/>
      <c r="E24" s="279"/>
      <c r="F24" s="663"/>
      <c r="G24" s="663"/>
      <c r="H24" s="287"/>
      <c r="I24" s="287"/>
      <c r="J24" s="279"/>
      <c r="K24" s="279"/>
      <c r="L24" s="279"/>
      <c r="M24" s="279"/>
      <c r="N24" s="279"/>
    </row>
    <row r="25" spans="1:14" x14ac:dyDescent="0.15">
      <c r="A25" s="284"/>
      <c r="B25" s="285"/>
      <c r="C25" s="286"/>
      <c r="D25" s="286"/>
      <c r="E25" s="279"/>
      <c r="F25" s="663"/>
      <c r="G25" s="663"/>
      <c r="H25" s="287"/>
      <c r="I25" s="287"/>
      <c r="J25" s="279"/>
      <c r="K25" s="279"/>
      <c r="L25" s="279"/>
      <c r="M25" s="279"/>
      <c r="N25" s="279"/>
    </row>
    <row r="26" spans="1:14" x14ac:dyDescent="0.15">
      <c r="A26" s="284"/>
      <c r="B26" s="285"/>
      <c r="C26" s="286"/>
      <c r="D26" s="286"/>
      <c r="E26" s="279"/>
      <c r="F26" s="663"/>
      <c r="G26" s="663"/>
      <c r="H26" s="287"/>
      <c r="I26" s="287"/>
      <c r="J26" s="279"/>
      <c r="K26" s="279"/>
      <c r="L26" s="279"/>
      <c r="M26" s="279"/>
      <c r="N26" s="279"/>
    </row>
    <row r="27" spans="1:14" x14ac:dyDescent="0.15">
      <c r="A27" s="284"/>
      <c r="B27" s="285"/>
      <c r="C27" s="286"/>
      <c r="D27" s="286"/>
      <c r="E27" s="279"/>
      <c r="F27" s="663"/>
      <c r="G27" s="663"/>
      <c r="H27" s="287"/>
      <c r="I27" s="287"/>
      <c r="J27" s="279"/>
      <c r="K27" s="279"/>
      <c r="L27" s="279"/>
      <c r="M27" s="279"/>
      <c r="N27" s="279"/>
    </row>
    <row r="28" spans="1:14" x14ac:dyDescent="0.15">
      <c r="A28" s="284"/>
      <c r="B28" s="285"/>
      <c r="C28" s="286"/>
      <c r="D28" s="286"/>
      <c r="E28" s="279"/>
      <c r="F28" s="663"/>
      <c r="G28" s="663"/>
      <c r="H28" s="287"/>
      <c r="I28" s="287"/>
      <c r="J28" s="279"/>
      <c r="K28" s="279"/>
      <c r="L28" s="279"/>
      <c r="M28" s="279"/>
      <c r="N28" s="279"/>
    </row>
    <row r="29" spans="1:14" x14ac:dyDescent="0.15">
      <c r="A29" s="284"/>
      <c r="B29" s="285"/>
      <c r="C29" s="286"/>
      <c r="D29" s="286"/>
      <c r="E29" s="279"/>
      <c r="F29" s="663"/>
      <c r="G29" s="663"/>
      <c r="H29" s="287"/>
      <c r="I29" s="287"/>
      <c r="J29" s="279"/>
      <c r="K29" s="279"/>
      <c r="L29" s="279"/>
      <c r="M29" s="279"/>
      <c r="N29" s="279"/>
    </row>
    <row r="30" spans="1:14" x14ac:dyDescent="0.15">
      <c r="A30" s="284"/>
      <c r="B30" s="285"/>
      <c r="C30" s="286"/>
      <c r="D30" s="286"/>
      <c r="E30" s="279"/>
      <c r="F30" s="663"/>
      <c r="G30" s="663"/>
      <c r="H30" s="287"/>
      <c r="I30" s="287"/>
      <c r="J30" s="279"/>
      <c r="K30" s="279"/>
      <c r="L30" s="279"/>
      <c r="M30" s="279"/>
      <c r="N30" s="279"/>
    </row>
    <row r="31" spans="1:14" x14ac:dyDescent="0.15">
      <c r="A31" s="284"/>
      <c r="B31" s="285"/>
      <c r="C31" s="286"/>
      <c r="D31" s="286"/>
      <c r="E31" s="279"/>
      <c r="F31" s="663"/>
      <c r="G31" s="663"/>
      <c r="H31" s="287"/>
      <c r="I31" s="287"/>
      <c r="J31" s="279"/>
      <c r="K31" s="279"/>
      <c r="L31" s="279"/>
      <c r="M31" s="279"/>
      <c r="N31" s="279"/>
    </row>
    <row r="32" spans="1:14" x14ac:dyDescent="0.15">
      <c r="A32" s="284"/>
      <c r="B32" s="285"/>
      <c r="C32" s="286"/>
      <c r="D32" s="286"/>
      <c r="E32" s="279"/>
      <c r="F32" s="663"/>
      <c r="G32" s="663"/>
      <c r="H32" s="287"/>
      <c r="I32" s="287"/>
      <c r="J32" s="279"/>
      <c r="K32" s="279"/>
      <c r="L32" s="279"/>
      <c r="M32" s="279"/>
      <c r="N32" s="279"/>
    </row>
    <row r="33" spans="1:14" x14ac:dyDescent="0.15">
      <c r="A33" s="284"/>
      <c r="B33" s="285"/>
      <c r="C33" s="286"/>
      <c r="D33" s="286"/>
      <c r="E33" s="279"/>
      <c r="F33" s="663"/>
      <c r="G33" s="663"/>
      <c r="H33" s="287"/>
      <c r="I33" s="287"/>
      <c r="J33" s="279"/>
      <c r="K33" s="279"/>
      <c r="L33" s="279"/>
      <c r="M33" s="279"/>
      <c r="N33" s="279"/>
    </row>
    <row r="34" spans="1:14" x14ac:dyDescent="0.15">
      <c r="A34" s="284"/>
      <c r="B34" s="285"/>
      <c r="C34" s="286"/>
      <c r="D34" s="286"/>
      <c r="E34" s="279"/>
      <c r="F34" s="663"/>
      <c r="G34" s="663"/>
      <c r="H34" s="287"/>
      <c r="I34" s="287"/>
      <c r="J34" s="279"/>
      <c r="K34" s="279"/>
      <c r="L34" s="279"/>
      <c r="M34" s="279"/>
      <c r="N34" s="279"/>
    </row>
    <row r="35" spans="1:14" x14ac:dyDescent="0.15">
      <c r="L35" s="664">
        <f>SUM(L6:M34)</f>
        <v>0</v>
      </c>
      <c r="M35" s="664"/>
    </row>
    <row r="36" spans="1:14" x14ac:dyDescent="0.15">
      <c r="A36" s="289" t="s">
        <v>18</v>
      </c>
      <c r="B36" s="289"/>
      <c r="C36" s="289"/>
    </row>
    <row r="37" spans="1:14" x14ac:dyDescent="0.15">
      <c r="A37" s="289" t="s">
        <v>19</v>
      </c>
      <c r="B37" s="279"/>
      <c r="C37" s="279"/>
      <c r="D37" s="288"/>
      <c r="E37" s="288"/>
      <c r="F37" s="288"/>
      <c r="G37" s="288"/>
      <c r="H37" s="288"/>
      <c r="I37" s="288"/>
      <c r="J37" s="288"/>
      <c r="K37" s="288"/>
      <c r="L37" s="288"/>
      <c r="M37" s="288"/>
    </row>
    <row r="38" spans="1:14" x14ac:dyDescent="0.15">
      <c r="A38" s="289" t="s">
        <v>20</v>
      </c>
      <c r="B38" s="279"/>
      <c r="C38" s="279"/>
      <c r="D38" s="288"/>
      <c r="E38" s="288"/>
      <c r="F38" s="288"/>
      <c r="G38" s="288"/>
      <c r="H38" s="288"/>
      <c r="I38" s="288"/>
      <c r="J38" s="288"/>
      <c r="K38" s="288"/>
      <c r="L38" s="288"/>
      <c r="M38" s="288"/>
    </row>
  </sheetData>
  <mergeCells count="41">
    <mergeCell ref="B1:F1"/>
    <mergeCell ref="H1:I1"/>
    <mergeCell ref="J1:K1"/>
    <mergeCell ref="L1:M1"/>
    <mergeCell ref="B2:F2"/>
    <mergeCell ref="H2:I2"/>
    <mergeCell ref="J2:K2"/>
    <mergeCell ref="L2:M2"/>
    <mergeCell ref="F14:G14"/>
    <mergeCell ref="B3:F3"/>
    <mergeCell ref="H3:I3"/>
    <mergeCell ref="F5:G5"/>
    <mergeCell ref="F6:G6"/>
    <mergeCell ref="F7:G7"/>
    <mergeCell ref="F8:G8"/>
    <mergeCell ref="F9:G9"/>
    <mergeCell ref="F10:G10"/>
    <mergeCell ref="F11:G11"/>
    <mergeCell ref="F12:G12"/>
    <mergeCell ref="F13:G13"/>
    <mergeCell ref="F26:G26"/>
    <mergeCell ref="F15:G15"/>
    <mergeCell ref="F16:G16"/>
    <mergeCell ref="F17:G17"/>
    <mergeCell ref="F18:G18"/>
    <mergeCell ref="F19:G19"/>
    <mergeCell ref="F20:G20"/>
    <mergeCell ref="F21:G21"/>
    <mergeCell ref="F22:G22"/>
    <mergeCell ref="F23:G23"/>
    <mergeCell ref="F24:G24"/>
    <mergeCell ref="F25:G25"/>
    <mergeCell ref="F33:G33"/>
    <mergeCell ref="F34:G34"/>
    <mergeCell ref="L35:M35"/>
    <mergeCell ref="F27:G27"/>
    <mergeCell ref="F28:G28"/>
    <mergeCell ref="F29:G29"/>
    <mergeCell ref="F30:G30"/>
    <mergeCell ref="F31:G31"/>
    <mergeCell ref="F32:G32"/>
  </mergeCells>
  <phoneticPr fontId="3"/>
  <pageMargins left="0.74803149606299213" right="0.39370078740157483" top="0.78740157480314965" bottom="0.78740157480314965" header="0.51181102362204722" footer="0.51181102362204722"/>
  <pageSetup paperSize="9" scale="93" orientation="landscape" horizontalDpi="1200" verticalDpi="1200" r:id="rId1"/>
  <headerFooter alignWithMargins="0">
    <oddHeader>&amp;C&amp;12売買情報</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4C176-55EC-4483-AD82-76422697D788}">
  <sheetPr codeName="Sheet13"/>
  <dimension ref="A1:N38"/>
  <sheetViews>
    <sheetView workbookViewId="0">
      <selection activeCell="B1" sqref="B1:F1"/>
    </sheetView>
  </sheetViews>
  <sheetFormatPr defaultRowHeight="13.5" x14ac:dyDescent="0.15"/>
  <cols>
    <col min="1" max="1" width="10.25" style="280" bestFit="1" customWidth="1"/>
    <col min="2" max="2" width="18.625" style="280" customWidth="1"/>
    <col min="3" max="6" width="9" style="280"/>
    <col min="7" max="7" width="10.25" style="280" bestFit="1" customWidth="1"/>
    <col min="8" max="9" width="9.625" style="280" customWidth="1"/>
    <col min="10" max="13" width="10.5" style="280" bestFit="1" customWidth="1"/>
    <col min="14" max="14" width="10.5" style="280" customWidth="1"/>
    <col min="15" max="256" width="9" style="280"/>
    <col min="257" max="257" width="10.25" style="280" bestFit="1" customWidth="1"/>
    <col min="258" max="258" width="18.625" style="280" customWidth="1"/>
    <col min="259" max="262" width="9" style="280"/>
    <col min="263" max="263" width="10.25" style="280" bestFit="1" customWidth="1"/>
    <col min="264" max="265" width="9.625" style="280" customWidth="1"/>
    <col min="266" max="269" width="10.5" style="280" bestFit="1" customWidth="1"/>
    <col min="270" max="270" width="10.5" style="280" customWidth="1"/>
    <col min="271" max="512" width="9" style="280"/>
    <col min="513" max="513" width="10.25" style="280" bestFit="1" customWidth="1"/>
    <col min="514" max="514" width="18.625" style="280" customWidth="1"/>
    <col min="515" max="518" width="9" style="280"/>
    <col min="519" max="519" width="10.25" style="280" bestFit="1" customWidth="1"/>
    <col min="520" max="521" width="9.625" style="280" customWidth="1"/>
    <col min="522" max="525" width="10.5" style="280" bestFit="1" customWidth="1"/>
    <col min="526" max="526" width="10.5" style="280" customWidth="1"/>
    <col min="527" max="768" width="9" style="280"/>
    <col min="769" max="769" width="10.25" style="280" bestFit="1" customWidth="1"/>
    <col min="770" max="770" width="18.625" style="280" customWidth="1"/>
    <col min="771" max="774" width="9" style="280"/>
    <col min="775" max="775" width="10.25" style="280" bestFit="1" customWidth="1"/>
    <col min="776" max="777" width="9.625" style="280" customWidth="1"/>
    <col min="778" max="781" width="10.5" style="280" bestFit="1" customWidth="1"/>
    <col min="782" max="782" width="10.5" style="280" customWidth="1"/>
    <col min="783" max="1024" width="9" style="280"/>
    <col min="1025" max="1025" width="10.25" style="280" bestFit="1" customWidth="1"/>
    <col min="1026" max="1026" width="18.625" style="280" customWidth="1"/>
    <col min="1027" max="1030" width="9" style="280"/>
    <col min="1031" max="1031" width="10.25" style="280" bestFit="1" customWidth="1"/>
    <col min="1032" max="1033" width="9.625" style="280" customWidth="1"/>
    <col min="1034" max="1037" width="10.5" style="280" bestFit="1" customWidth="1"/>
    <col min="1038" max="1038" width="10.5" style="280" customWidth="1"/>
    <col min="1039" max="1280" width="9" style="280"/>
    <col min="1281" max="1281" width="10.25" style="280" bestFit="1" customWidth="1"/>
    <col min="1282" max="1282" width="18.625" style="280" customWidth="1"/>
    <col min="1283" max="1286" width="9" style="280"/>
    <col min="1287" max="1287" width="10.25" style="280" bestFit="1" customWidth="1"/>
    <col min="1288" max="1289" width="9.625" style="280" customWidth="1"/>
    <col min="1290" max="1293" width="10.5" style="280" bestFit="1" customWidth="1"/>
    <col min="1294" max="1294" width="10.5" style="280" customWidth="1"/>
    <col min="1295" max="1536" width="9" style="280"/>
    <col min="1537" max="1537" width="10.25" style="280" bestFit="1" customWidth="1"/>
    <col min="1538" max="1538" width="18.625" style="280" customWidth="1"/>
    <col min="1539" max="1542" width="9" style="280"/>
    <col min="1543" max="1543" width="10.25" style="280" bestFit="1" customWidth="1"/>
    <col min="1544" max="1545" width="9.625" style="280" customWidth="1"/>
    <col min="1546" max="1549" width="10.5" style="280" bestFit="1" customWidth="1"/>
    <col min="1550" max="1550" width="10.5" style="280" customWidth="1"/>
    <col min="1551" max="1792" width="9" style="280"/>
    <col min="1793" max="1793" width="10.25" style="280" bestFit="1" customWidth="1"/>
    <col min="1794" max="1794" width="18.625" style="280" customWidth="1"/>
    <col min="1795" max="1798" width="9" style="280"/>
    <col min="1799" max="1799" width="10.25" style="280" bestFit="1" customWidth="1"/>
    <col min="1800" max="1801" width="9.625" style="280" customWidth="1"/>
    <col min="1802" max="1805" width="10.5" style="280" bestFit="1" customWidth="1"/>
    <col min="1806" max="1806" width="10.5" style="280" customWidth="1"/>
    <col min="1807" max="2048" width="9" style="280"/>
    <col min="2049" max="2049" width="10.25" style="280" bestFit="1" customWidth="1"/>
    <col min="2050" max="2050" width="18.625" style="280" customWidth="1"/>
    <col min="2051" max="2054" width="9" style="280"/>
    <col min="2055" max="2055" width="10.25" style="280" bestFit="1" customWidth="1"/>
    <col min="2056" max="2057" width="9.625" style="280" customWidth="1"/>
    <col min="2058" max="2061" width="10.5" style="280" bestFit="1" customWidth="1"/>
    <col min="2062" max="2062" width="10.5" style="280" customWidth="1"/>
    <col min="2063" max="2304" width="9" style="280"/>
    <col min="2305" max="2305" width="10.25" style="280" bestFit="1" customWidth="1"/>
    <col min="2306" max="2306" width="18.625" style="280" customWidth="1"/>
    <col min="2307" max="2310" width="9" style="280"/>
    <col min="2311" max="2311" width="10.25" style="280" bestFit="1" customWidth="1"/>
    <col min="2312" max="2313" width="9.625" style="280" customWidth="1"/>
    <col min="2314" max="2317" width="10.5" style="280" bestFit="1" customWidth="1"/>
    <col min="2318" max="2318" width="10.5" style="280" customWidth="1"/>
    <col min="2319" max="2560" width="9" style="280"/>
    <col min="2561" max="2561" width="10.25" style="280" bestFit="1" customWidth="1"/>
    <col min="2562" max="2562" width="18.625" style="280" customWidth="1"/>
    <col min="2563" max="2566" width="9" style="280"/>
    <col min="2567" max="2567" width="10.25" style="280" bestFit="1" customWidth="1"/>
    <col min="2568" max="2569" width="9.625" style="280" customWidth="1"/>
    <col min="2570" max="2573" width="10.5" style="280" bestFit="1" customWidth="1"/>
    <col min="2574" max="2574" width="10.5" style="280" customWidth="1"/>
    <col min="2575" max="2816" width="9" style="280"/>
    <col min="2817" max="2817" width="10.25" style="280" bestFit="1" customWidth="1"/>
    <col min="2818" max="2818" width="18.625" style="280" customWidth="1"/>
    <col min="2819" max="2822" width="9" style="280"/>
    <col min="2823" max="2823" width="10.25" style="280" bestFit="1" customWidth="1"/>
    <col min="2824" max="2825" width="9.625" style="280" customWidth="1"/>
    <col min="2826" max="2829" width="10.5" style="280" bestFit="1" customWidth="1"/>
    <col min="2830" max="2830" width="10.5" style="280" customWidth="1"/>
    <col min="2831" max="3072" width="9" style="280"/>
    <col min="3073" max="3073" width="10.25" style="280" bestFit="1" customWidth="1"/>
    <col min="3074" max="3074" width="18.625" style="280" customWidth="1"/>
    <col min="3075" max="3078" width="9" style="280"/>
    <col min="3079" max="3079" width="10.25" style="280" bestFit="1" customWidth="1"/>
    <col min="3080" max="3081" width="9.625" style="280" customWidth="1"/>
    <col min="3082" max="3085" width="10.5" style="280" bestFit="1" customWidth="1"/>
    <col min="3086" max="3086" width="10.5" style="280" customWidth="1"/>
    <col min="3087" max="3328" width="9" style="280"/>
    <col min="3329" max="3329" width="10.25" style="280" bestFit="1" customWidth="1"/>
    <col min="3330" max="3330" width="18.625" style="280" customWidth="1"/>
    <col min="3331" max="3334" width="9" style="280"/>
    <col min="3335" max="3335" width="10.25" style="280" bestFit="1" customWidth="1"/>
    <col min="3336" max="3337" width="9.625" style="280" customWidth="1"/>
    <col min="3338" max="3341" width="10.5" style="280" bestFit="1" customWidth="1"/>
    <col min="3342" max="3342" width="10.5" style="280" customWidth="1"/>
    <col min="3343" max="3584" width="9" style="280"/>
    <col min="3585" max="3585" width="10.25" style="280" bestFit="1" customWidth="1"/>
    <col min="3586" max="3586" width="18.625" style="280" customWidth="1"/>
    <col min="3587" max="3590" width="9" style="280"/>
    <col min="3591" max="3591" width="10.25" style="280" bestFit="1" customWidth="1"/>
    <col min="3592" max="3593" width="9.625" style="280" customWidth="1"/>
    <col min="3594" max="3597" width="10.5" style="280" bestFit="1" customWidth="1"/>
    <col min="3598" max="3598" width="10.5" style="280" customWidth="1"/>
    <col min="3599" max="3840" width="9" style="280"/>
    <col min="3841" max="3841" width="10.25" style="280" bestFit="1" customWidth="1"/>
    <col min="3842" max="3842" width="18.625" style="280" customWidth="1"/>
    <col min="3843" max="3846" width="9" style="280"/>
    <col min="3847" max="3847" width="10.25" style="280" bestFit="1" customWidth="1"/>
    <col min="3848" max="3849" width="9.625" style="280" customWidth="1"/>
    <col min="3850" max="3853" width="10.5" style="280" bestFit="1" customWidth="1"/>
    <col min="3854" max="3854" width="10.5" style="280" customWidth="1"/>
    <col min="3855" max="4096" width="9" style="280"/>
    <col min="4097" max="4097" width="10.25" style="280" bestFit="1" customWidth="1"/>
    <col min="4098" max="4098" width="18.625" style="280" customWidth="1"/>
    <col min="4099" max="4102" width="9" style="280"/>
    <col min="4103" max="4103" width="10.25" style="280" bestFit="1" customWidth="1"/>
    <col min="4104" max="4105" width="9.625" style="280" customWidth="1"/>
    <col min="4106" max="4109" width="10.5" style="280" bestFit="1" customWidth="1"/>
    <col min="4110" max="4110" width="10.5" style="280" customWidth="1"/>
    <col min="4111" max="4352" width="9" style="280"/>
    <col min="4353" max="4353" width="10.25" style="280" bestFit="1" customWidth="1"/>
    <col min="4354" max="4354" width="18.625" style="280" customWidth="1"/>
    <col min="4355" max="4358" width="9" style="280"/>
    <col min="4359" max="4359" width="10.25" style="280" bestFit="1" customWidth="1"/>
    <col min="4360" max="4361" width="9.625" style="280" customWidth="1"/>
    <col min="4362" max="4365" width="10.5" style="280" bestFit="1" customWidth="1"/>
    <col min="4366" max="4366" width="10.5" style="280" customWidth="1"/>
    <col min="4367" max="4608" width="9" style="280"/>
    <col min="4609" max="4609" width="10.25" style="280" bestFit="1" customWidth="1"/>
    <col min="4610" max="4610" width="18.625" style="280" customWidth="1"/>
    <col min="4611" max="4614" width="9" style="280"/>
    <col min="4615" max="4615" width="10.25" style="280" bestFit="1" customWidth="1"/>
    <col min="4616" max="4617" width="9.625" style="280" customWidth="1"/>
    <col min="4618" max="4621" width="10.5" style="280" bestFit="1" customWidth="1"/>
    <col min="4622" max="4622" width="10.5" style="280" customWidth="1"/>
    <col min="4623" max="4864" width="9" style="280"/>
    <col min="4865" max="4865" width="10.25" style="280" bestFit="1" customWidth="1"/>
    <col min="4866" max="4866" width="18.625" style="280" customWidth="1"/>
    <col min="4867" max="4870" width="9" style="280"/>
    <col min="4871" max="4871" width="10.25" style="280" bestFit="1" customWidth="1"/>
    <col min="4872" max="4873" width="9.625" style="280" customWidth="1"/>
    <col min="4874" max="4877" width="10.5" style="280" bestFit="1" customWidth="1"/>
    <col min="4878" max="4878" width="10.5" style="280" customWidth="1"/>
    <col min="4879" max="5120" width="9" style="280"/>
    <col min="5121" max="5121" width="10.25" style="280" bestFit="1" customWidth="1"/>
    <col min="5122" max="5122" width="18.625" style="280" customWidth="1"/>
    <col min="5123" max="5126" width="9" style="280"/>
    <col min="5127" max="5127" width="10.25" style="280" bestFit="1" customWidth="1"/>
    <col min="5128" max="5129" width="9.625" style="280" customWidth="1"/>
    <col min="5130" max="5133" width="10.5" style="280" bestFit="1" customWidth="1"/>
    <col min="5134" max="5134" width="10.5" style="280" customWidth="1"/>
    <col min="5135" max="5376" width="9" style="280"/>
    <col min="5377" max="5377" width="10.25" style="280" bestFit="1" customWidth="1"/>
    <col min="5378" max="5378" width="18.625" style="280" customWidth="1"/>
    <col min="5379" max="5382" width="9" style="280"/>
    <col min="5383" max="5383" width="10.25" style="280" bestFit="1" customWidth="1"/>
    <col min="5384" max="5385" width="9.625" style="280" customWidth="1"/>
    <col min="5386" max="5389" width="10.5" style="280" bestFit="1" customWidth="1"/>
    <col min="5390" max="5390" width="10.5" style="280" customWidth="1"/>
    <col min="5391" max="5632" width="9" style="280"/>
    <col min="5633" max="5633" width="10.25" style="280" bestFit="1" customWidth="1"/>
    <col min="5634" max="5634" width="18.625" style="280" customWidth="1"/>
    <col min="5635" max="5638" width="9" style="280"/>
    <col min="5639" max="5639" width="10.25" style="280" bestFit="1" customWidth="1"/>
    <col min="5640" max="5641" width="9.625" style="280" customWidth="1"/>
    <col min="5642" max="5645" width="10.5" style="280" bestFit="1" customWidth="1"/>
    <col min="5646" max="5646" width="10.5" style="280" customWidth="1"/>
    <col min="5647" max="5888" width="9" style="280"/>
    <col min="5889" max="5889" width="10.25" style="280" bestFit="1" customWidth="1"/>
    <col min="5890" max="5890" width="18.625" style="280" customWidth="1"/>
    <col min="5891" max="5894" width="9" style="280"/>
    <col min="5895" max="5895" width="10.25" style="280" bestFit="1" customWidth="1"/>
    <col min="5896" max="5897" width="9.625" style="280" customWidth="1"/>
    <col min="5898" max="5901" width="10.5" style="280" bestFit="1" customWidth="1"/>
    <col min="5902" max="5902" width="10.5" style="280" customWidth="1"/>
    <col min="5903" max="6144" width="9" style="280"/>
    <col min="6145" max="6145" width="10.25" style="280" bestFit="1" customWidth="1"/>
    <col min="6146" max="6146" width="18.625" style="280" customWidth="1"/>
    <col min="6147" max="6150" width="9" style="280"/>
    <col min="6151" max="6151" width="10.25" style="280" bestFit="1" customWidth="1"/>
    <col min="6152" max="6153" width="9.625" style="280" customWidth="1"/>
    <col min="6154" max="6157" width="10.5" style="280" bestFit="1" customWidth="1"/>
    <col min="6158" max="6158" width="10.5" style="280" customWidth="1"/>
    <col min="6159" max="6400" width="9" style="280"/>
    <col min="6401" max="6401" width="10.25" style="280" bestFit="1" customWidth="1"/>
    <col min="6402" max="6402" width="18.625" style="280" customWidth="1"/>
    <col min="6403" max="6406" width="9" style="280"/>
    <col min="6407" max="6407" width="10.25" style="280" bestFit="1" customWidth="1"/>
    <col min="6408" max="6409" width="9.625" style="280" customWidth="1"/>
    <col min="6410" max="6413" width="10.5" style="280" bestFit="1" customWidth="1"/>
    <col min="6414" max="6414" width="10.5" style="280" customWidth="1"/>
    <col min="6415" max="6656" width="9" style="280"/>
    <col min="6657" max="6657" width="10.25" style="280" bestFit="1" customWidth="1"/>
    <col min="6658" max="6658" width="18.625" style="280" customWidth="1"/>
    <col min="6659" max="6662" width="9" style="280"/>
    <col min="6663" max="6663" width="10.25" style="280" bestFit="1" customWidth="1"/>
    <col min="6664" max="6665" width="9.625" style="280" customWidth="1"/>
    <col min="6666" max="6669" width="10.5" style="280" bestFit="1" customWidth="1"/>
    <col min="6670" max="6670" width="10.5" style="280" customWidth="1"/>
    <col min="6671" max="6912" width="9" style="280"/>
    <col min="6913" max="6913" width="10.25" style="280" bestFit="1" customWidth="1"/>
    <col min="6914" max="6914" width="18.625" style="280" customWidth="1"/>
    <col min="6915" max="6918" width="9" style="280"/>
    <col min="6919" max="6919" width="10.25" style="280" bestFit="1" customWidth="1"/>
    <col min="6920" max="6921" width="9.625" style="280" customWidth="1"/>
    <col min="6922" max="6925" width="10.5" style="280" bestFit="1" customWidth="1"/>
    <col min="6926" max="6926" width="10.5" style="280" customWidth="1"/>
    <col min="6927" max="7168" width="9" style="280"/>
    <col min="7169" max="7169" width="10.25" style="280" bestFit="1" customWidth="1"/>
    <col min="7170" max="7170" width="18.625" style="280" customWidth="1"/>
    <col min="7171" max="7174" width="9" style="280"/>
    <col min="7175" max="7175" width="10.25" style="280" bestFit="1" customWidth="1"/>
    <col min="7176" max="7177" width="9.625" style="280" customWidth="1"/>
    <col min="7178" max="7181" width="10.5" style="280" bestFit="1" customWidth="1"/>
    <col min="7182" max="7182" width="10.5" style="280" customWidth="1"/>
    <col min="7183" max="7424" width="9" style="280"/>
    <col min="7425" max="7425" width="10.25" style="280" bestFit="1" customWidth="1"/>
    <col min="7426" max="7426" width="18.625" style="280" customWidth="1"/>
    <col min="7427" max="7430" width="9" style="280"/>
    <col min="7431" max="7431" width="10.25" style="280" bestFit="1" customWidth="1"/>
    <col min="7432" max="7433" width="9.625" style="280" customWidth="1"/>
    <col min="7434" max="7437" width="10.5" style="280" bestFit="1" customWidth="1"/>
    <col min="7438" max="7438" width="10.5" style="280" customWidth="1"/>
    <col min="7439" max="7680" width="9" style="280"/>
    <col min="7681" max="7681" width="10.25" style="280" bestFit="1" customWidth="1"/>
    <col min="7682" max="7682" width="18.625" style="280" customWidth="1"/>
    <col min="7683" max="7686" width="9" style="280"/>
    <col min="7687" max="7687" width="10.25" style="280" bestFit="1" customWidth="1"/>
    <col min="7688" max="7689" width="9.625" style="280" customWidth="1"/>
    <col min="7690" max="7693" width="10.5" style="280" bestFit="1" customWidth="1"/>
    <col min="7694" max="7694" width="10.5" style="280" customWidth="1"/>
    <col min="7695" max="7936" width="9" style="280"/>
    <col min="7937" max="7937" width="10.25" style="280" bestFit="1" customWidth="1"/>
    <col min="7938" max="7938" width="18.625" style="280" customWidth="1"/>
    <col min="7939" max="7942" width="9" style="280"/>
    <col min="7943" max="7943" width="10.25" style="280" bestFit="1" customWidth="1"/>
    <col min="7944" max="7945" width="9.625" style="280" customWidth="1"/>
    <col min="7946" max="7949" width="10.5" style="280" bestFit="1" customWidth="1"/>
    <col min="7950" max="7950" width="10.5" style="280" customWidth="1"/>
    <col min="7951" max="8192" width="9" style="280"/>
    <col min="8193" max="8193" width="10.25" style="280" bestFit="1" customWidth="1"/>
    <col min="8194" max="8194" width="18.625" style="280" customWidth="1"/>
    <col min="8195" max="8198" width="9" style="280"/>
    <col min="8199" max="8199" width="10.25" style="280" bestFit="1" customWidth="1"/>
    <col min="8200" max="8201" width="9.625" style="280" customWidth="1"/>
    <col min="8202" max="8205" width="10.5" style="280" bestFit="1" customWidth="1"/>
    <col min="8206" max="8206" width="10.5" style="280" customWidth="1"/>
    <col min="8207" max="8448" width="9" style="280"/>
    <col min="8449" max="8449" width="10.25" style="280" bestFit="1" customWidth="1"/>
    <col min="8450" max="8450" width="18.625" style="280" customWidth="1"/>
    <col min="8451" max="8454" width="9" style="280"/>
    <col min="8455" max="8455" width="10.25" style="280" bestFit="1" customWidth="1"/>
    <col min="8456" max="8457" width="9.625" style="280" customWidth="1"/>
    <col min="8458" max="8461" width="10.5" style="280" bestFit="1" customWidth="1"/>
    <col min="8462" max="8462" width="10.5" style="280" customWidth="1"/>
    <col min="8463" max="8704" width="9" style="280"/>
    <col min="8705" max="8705" width="10.25" style="280" bestFit="1" customWidth="1"/>
    <col min="8706" max="8706" width="18.625" style="280" customWidth="1"/>
    <col min="8707" max="8710" width="9" style="280"/>
    <col min="8711" max="8711" width="10.25" style="280" bestFit="1" customWidth="1"/>
    <col min="8712" max="8713" width="9.625" style="280" customWidth="1"/>
    <col min="8714" max="8717" width="10.5" style="280" bestFit="1" customWidth="1"/>
    <col min="8718" max="8718" width="10.5" style="280" customWidth="1"/>
    <col min="8719" max="8960" width="9" style="280"/>
    <col min="8961" max="8961" width="10.25" style="280" bestFit="1" customWidth="1"/>
    <col min="8962" max="8962" width="18.625" style="280" customWidth="1"/>
    <col min="8963" max="8966" width="9" style="280"/>
    <col min="8967" max="8967" width="10.25" style="280" bestFit="1" customWidth="1"/>
    <col min="8968" max="8969" width="9.625" style="280" customWidth="1"/>
    <col min="8970" max="8973" width="10.5" style="280" bestFit="1" customWidth="1"/>
    <col min="8974" max="8974" width="10.5" style="280" customWidth="1"/>
    <col min="8975" max="9216" width="9" style="280"/>
    <col min="9217" max="9217" width="10.25" style="280" bestFit="1" customWidth="1"/>
    <col min="9218" max="9218" width="18.625" style="280" customWidth="1"/>
    <col min="9219" max="9222" width="9" style="280"/>
    <col min="9223" max="9223" width="10.25" style="280" bestFit="1" customWidth="1"/>
    <col min="9224" max="9225" width="9.625" style="280" customWidth="1"/>
    <col min="9226" max="9229" width="10.5" style="280" bestFit="1" customWidth="1"/>
    <col min="9230" max="9230" width="10.5" style="280" customWidth="1"/>
    <col min="9231" max="9472" width="9" style="280"/>
    <col min="9473" max="9473" width="10.25" style="280" bestFit="1" customWidth="1"/>
    <col min="9474" max="9474" width="18.625" style="280" customWidth="1"/>
    <col min="9475" max="9478" width="9" style="280"/>
    <col min="9479" max="9479" width="10.25" style="280" bestFit="1" customWidth="1"/>
    <col min="9480" max="9481" width="9.625" style="280" customWidth="1"/>
    <col min="9482" max="9485" width="10.5" style="280" bestFit="1" customWidth="1"/>
    <col min="9486" max="9486" width="10.5" style="280" customWidth="1"/>
    <col min="9487" max="9728" width="9" style="280"/>
    <col min="9729" max="9729" width="10.25" style="280" bestFit="1" customWidth="1"/>
    <col min="9730" max="9730" width="18.625" style="280" customWidth="1"/>
    <col min="9731" max="9734" width="9" style="280"/>
    <col min="9735" max="9735" width="10.25" style="280" bestFit="1" customWidth="1"/>
    <col min="9736" max="9737" width="9.625" style="280" customWidth="1"/>
    <col min="9738" max="9741" width="10.5" style="280" bestFit="1" customWidth="1"/>
    <col min="9742" max="9742" width="10.5" style="280" customWidth="1"/>
    <col min="9743" max="9984" width="9" style="280"/>
    <col min="9985" max="9985" width="10.25" style="280" bestFit="1" customWidth="1"/>
    <col min="9986" max="9986" width="18.625" style="280" customWidth="1"/>
    <col min="9987" max="9990" width="9" style="280"/>
    <col min="9991" max="9991" width="10.25" style="280" bestFit="1" customWidth="1"/>
    <col min="9992" max="9993" width="9.625" style="280" customWidth="1"/>
    <col min="9994" max="9997" width="10.5" style="280" bestFit="1" customWidth="1"/>
    <col min="9998" max="9998" width="10.5" style="280" customWidth="1"/>
    <col min="9999" max="10240" width="9" style="280"/>
    <col min="10241" max="10241" width="10.25" style="280" bestFit="1" customWidth="1"/>
    <col min="10242" max="10242" width="18.625" style="280" customWidth="1"/>
    <col min="10243" max="10246" width="9" style="280"/>
    <col min="10247" max="10247" width="10.25" style="280" bestFit="1" customWidth="1"/>
    <col min="10248" max="10249" width="9.625" style="280" customWidth="1"/>
    <col min="10250" max="10253" width="10.5" style="280" bestFit="1" customWidth="1"/>
    <col min="10254" max="10254" width="10.5" style="280" customWidth="1"/>
    <col min="10255" max="10496" width="9" style="280"/>
    <col min="10497" max="10497" width="10.25" style="280" bestFit="1" customWidth="1"/>
    <col min="10498" max="10498" width="18.625" style="280" customWidth="1"/>
    <col min="10499" max="10502" width="9" style="280"/>
    <col min="10503" max="10503" width="10.25" style="280" bestFit="1" customWidth="1"/>
    <col min="10504" max="10505" width="9.625" style="280" customWidth="1"/>
    <col min="10506" max="10509" width="10.5" style="280" bestFit="1" customWidth="1"/>
    <col min="10510" max="10510" width="10.5" style="280" customWidth="1"/>
    <col min="10511" max="10752" width="9" style="280"/>
    <col min="10753" max="10753" width="10.25" style="280" bestFit="1" customWidth="1"/>
    <col min="10754" max="10754" width="18.625" style="280" customWidth="1"/>
    <col min="10755" max="10758" width="9" style="280"/>
    <col min="10759" max="10759" width="10.25" style="280" bestFit="1" customWidth="1"/>
    <col min="10760" max="10761" width="9.625" style="280" customWidth="1"/>
    <col min="10762" max="10765" width="10.5" style="280" bestFit="1" customWidth="1"/>
    <col min="10766" max="10766" width="10.5" style="280" customWidth="1"/>
    <col min="10767" max="11008" width="9" style="280"/>
    <col min="11009" max="11009" width="10.25" style="280" bestFit="1" customWidth="1"/>
    <col min="11010" max="11010" width="18.625" style="280" customWidth="1"/>
    <col min="11011" max="11014" width="9" style="280"/>
    <col min="11015" max="11015" width="10.25" style="280" bestFit="1" customWidth="1"/>
    <col min="11016" max="11017" width="9.625" style="280" customWidth="1"/>
    <col min="11018" max="11021" width="10.5" style="280" bestFit="1" customWidth="1"/>
    <col min="11022" max="11022" width="10.5" style="280" customWidth="1"/>
    <col min="11023" max="11264" width="9" style="280"/>
    <col min="11265" max="11265" width="10.25" style="280" bestFit="1" customWidth="1"/>
    <col min="11266" max="11266" width="18.625" style="280" customWidth="1"/>
    <col min="11267" max="11270" width="9" style="280"/>
    <col min="11271" max="11271" width="10.25" style="280" bestFit="1" customWidth="1"/>
    <col min="11272" max="11273" width="9.625" style="280" customWidth="1"/>
    <col min="11274" max="11277" width="10.5" style="280" bestFit="1" customWidth="1"/>
    <col min="11278" max="11278" width="10.5" style="280" customWidth="1"/>
    <col min="11279" max="11520" width="9" style="280"/>
    <col min="11521" max="11521" width="10.25" style="280" bestFit="1" customWidth="1"/>
    <col min="11522" max="11522" width="18.625" style="280" customWidth="1"/>
    <col min="11523" max="11526" width="9" style="280"/>
    <col min="11527" max="11527" width="10.25" style="280" bestFit="1" customWidth="1"/>
    <col min="11528" max="11529" width="9.625" style="280" customWidth="1"/>
    <col min="11530" max="11533" width="10.5" style="280" bestFit="1" customWidth="1"/>
    <col min="11534" max="11534" width="10.5" style="280" customWidth="1"/>
    <col min="11535" max="11776" width="9" style="280"/>
    <col min="11777" max="11777" width="10.25" style="280" bestFit="1" customWidth="1"/>
    <col min="11778" max="11778" width="18.625" style="280" customWidth="1"/>
    <col min="11779" max="11782" width="9" style="280"/>
    <col min="11783" max="11783" width="10.25" style="280" bestFit="1" customWidth="1"/>
    <col min="11784" max="11785" width="9.625" style="280" customWidth="1"/>
    <col min="11786" max="11789" width="10.5" style="280" bestFit="1" customWidth="1"/>
    <col min="11790" max="11790" width="10.5" style="280" customWidth="1"/>
    <col min="11791" max="12032" width="9" style="280"/>
    <col min="12033" max="12033" width="10.25" style="280" bestFit="1" customWidth="1"/>
    <col min="12034" max="12034" width="18.625" style="280" customWidth="1"/>
    <col min="12035" max="12038" width="9" style="280"/>
    <col min="12039" max="12039" width="10.25" style="280" bestFit="1" customWidth="1"/>
    <col min="12040" max="12041" width="9.625" style="280" customWidth="1"/>
    <col min="12042" max="12045" width="10.5" style="280" bestFit="1" customWidth="1"/>
    <col min="12046" max="12046" width="10.5" style="280" customWidth="1"/>
    <col min="12047" max="12288" width="9" style="280"/>
    <col min="12289" max="12289" width="10.25" style="280" bestFit="1" customWidth="1"/>
    <col min="12290" max="12290" width="18.625" style="280" customWidth="1"/>
    <col min="12291" max="12294" width="9" style="280"/>
    <col min="12295" max="12295" width="10.25" style="280" bestFit="1" customWidth="1"/>
    <col min="12296" max="12297" width="9.625" style="280" customWidth="1"/>
    <col min="12298" max="12301" width="10.5" style="280" bestFit="1" customWidth="1"/>
    <col min="12302" max="12302" width="10.5" style="280" customWidth="1"/>
    <col min="12303" max="12544" width="9" style="280"/>
    <col min="12545" max="12545" width="10.25" style="280" bestFit="1" customWidth="1"/>
    <col min="12546" max="12546" width="18.625" style="280" customWidth="1"/>
    <col min="12547" max="12550" width="9" style="280"/>
    <col min="12551" max="12551" width="10.25" style="280" bestFit="1" customWidth="1"/>
    <col min="12552" max="12553" width="9.625" style="280" customWidth="1"/>
    <col min="12554" max="12557" width="10.5" style="280" bestFit="1" customWidth="1"/>
    <col min="12558" max="12558" width="10.5" style="280" customWidth="1"/>
    <col min="12559" max="12800" width="9" style="280"/>
    <col min="12801" max="12801" width="10.25" style="280" bestFit="1" customWidth="1"/>
    <col min="12802" max="12802" width="18.625" style="280" customWidth="1"/>
    <col min="12803" max="12806" width="9" style="280"/>
    <col min="12807" max="12807" width="10.25" style="280" bestFit="1" customWidth="1"/>
    <col min="12808" max="12809" width="9.625" style="280" customWidth="1"/>
    <col min="12810" max="12813" width="10.5" style="280" bestFit="1" customWidth="1"/>
    <col min="12814" max="12814" width="10.5" style="280" customWidth="1"/>
    <col min="12815" max="13056" width="9" style="280"/>
    <col min="13057" max="13057" width="10.25" style="280" bestFit="1" customWidth="1"/>
    <col min="13058" max="13058" width="18.625" style="280" customWidth="1"/>
    <col min="13059" max="13062" width="9" style="280"/>
    <col min="13063" max="13063" width="10.25" style="280" bestFit="1" customWidth="1"/>
    <col min="13064" max="13065" width="9.625" style="280" customWidth="1"/>
    <col min="13066" max="13069" width="10.5" style="280" bestFit="1" customWidth="1"/>
    <col min="13070" max="13070" width="10.5" style="280" customWidth="1"/>
    <col min="13071" max="13312" width="9" style="280"/>
    <col min="13313" max="13313" width="10.25" style="280" bestFit="1" customWidth="1"/>
    <col min="13314" max="13314" width="18.625" style="280" customWidth="1"/>
    <col min="13315" max="13318" width="9" style="280"/>
    <col min="13319" max="13319" width="10.25" style="280" bestFit="1" customWidth="1"/>
    <col min="13320" max="13321" width="9.625" style="280" customWidth="1"/>
    <col min="13322" max="13325" width="10.5" style="280" bestFit="1" customWidth="1"/>
    <col min="13326" max="13326" width="10.5" style="280" customWidth="1"/>
    <col min="13327" max="13568" width="9" style="280"/>
    <col min="13569" max="13569" width="10.25" style="280" bestFit="1" customWidth="1"/>
    <col min="13570" max="13570" width="18.625" style="280" customWidth="1"/>
    <col min="13571" max="13574" width="9" style="280"/>
    <col min="13575" max="13575" width="10.25" style="280" bestFit="1" customWidth="1"/>
    <col min="13576" max="13577" width="9.625" style="280" customWidth="1"/>
    <col min="13578" max="13581" width="10.5" style="280" bestFit="1" customWidth="1"/>
    <col min="13582" max="13582" width="10.5" style="280" customWidth="1"/>
    <col min="13583" max="13824" width="9" style="280"/>
    <col min="13825" max="13825" width="10.25" style="280" bestFit="1" customWidth="1"/>
    <col min="13826" max="13826" width="18.625" style="280" customWidth="1"/>
    <col min="13827" max="13830" width="9" style="280"/>
    <col min="13831" max="13831" width="10.25" style="280" bestFit="1" customWidth="1"/>
    <col min="13832" max="13833" width="9.625" style="280" customWidth="1"/>
    <col min="13834" max="13837" width="10.5" style="280" bestFit="1" customWidth="1"/>
    <col min="13838" max="13838" width="10.5" style="280" customWidth="1"/>
    <col min="13839" max="14080" width="9" style="280"/>
    <col min="14081" max="14081" width="10.25" style="280" bestFit="1" customWidth="1"/>
    <col min="14082" max="14082" width="18.625" style="280" customWidth="1"/>
    <col min="14083" max="14086" width="9" style="280"/>
    <col min="14087" max="14087" width="10.25" style="280" bestFit="1" customWidth="1"/>
    <col min="14088" max="14089" width="9.625" style="280" customWidth="1"/>
    <col min="14090" max="14093" width="10.5" style="280" bestFit="1" customWidth="1"/>
    <col min="14094" max="14094" width="10.5" style="280" customWidth="1"/>
    <col min="14095" max="14336" width="9" style="280"/>
    <col min="14337" max="14337" width="10.25" style="280" bestFit="1" customWidth="1"/>
    <col min="14338" max="14338" width="18.625" style="280" customWidth="1"/>
    <col min="14339" max="14342" width="9" style="280"/>
    <col min="14343" max="14343" width="10.25" style="280" bestFit="1" customWidth="1"/>
    <col min="14344" max="14345" width="9.625" style="280" customWidth="1"/>
    <col min="14346" max="14349" width="10.5" style="280" bestFit="1" customWidth="1"/>
    <col min="14350" max="14350" width="10.5" style="280" customWidth="1"/>
    <col min="14351" max="14592" width="9" style="280"/>
    <col min="14593" max="14593" width="10.25" style="280" bestFit="1" customWidth="1"/>
    <col min="14594" max="14594" width="18.625" style="280" customWidth="1"/>
    <col min="14595" max="14598" width="9" style="280"/>
    <col min="14599" max="14599" width="10.25" style="280" bestFit="1" customWidth="1"/>
    <col min="14600" max="14601" width="9.625" style="280" customWidth="1"/>
    <col min="14602" max="14605" width="10.5" style="280" bestFit="1" customWidth="1"/>
    <col min="14606" max="14606" width="10.5" style="280" customWidth="1"/>
    <col min="14607" max="14848" width="9" style="280"/>
    <col min="14849" max="14849" width="10.25" style="280" bestFit="1" customWidth="1"/>
    <col min="14850" max="14850" width="18.625" style="280" customWidth="1"/>
    <col min="14851" max="14854" width="9" style="280"/>
    <col min="14855" max="14855" width="10.25" style="280" bestFit="1" customWidth="1"/>
    <col min="14856" max="14857" width="9.625" style="280" customWidth="1"/>
    <col min="14858" max="14861" width="10.5" style="280" bestFit="1" customWidth="1"/>
    <col min="14862" max="14862" width="10.5" style="280" customWidth="1"/>
    <col min="14863" max="15104" width="9" style="280"/>
    <col min="15105" max="15105" width="10.25" style="280" bestFit="1" customWidth="1"/>
    <col min="15106" max="15106" width="18.625" style="280" customWidth="1"/>
    <col min="15107" max="15110" width="9" style="280"/>
    <col min="15111" max="15111" width="10.25" style="280" bestFit="1" customWidth="1"/>
    <col min="15112" max="15113" width="9.625" style="280" customWidth="1"/>
    <col min="15114" max="15117" width="10.5" style="280" bestFit="1" customWidth="1"/>
    <col min="15118" max="15118" width="10.5" style="280" customWidth="1"/>
    <col min="15119" max="15360" width="9" style="280"/>
    <col min="15361" max="15361" width="10.25" style="280" bestFit="1" customWidth="1"/>
    <col min="15362" max="15362" width="18.625" style="280" customWidth="1"/>
    <col min="15363" max="15366" width="9" style="280"/>
    <col min="15367" max="15367" width="10.25" style="280" bestFit="1" customWidth="1"/>
    <col min="15368" max="15369" width="9.625" style="280" customWidth="1"/>
    <col min="15370" max="15373" width="10.5" style="280" bestFit="1" customWidth="1"/>
    <col min="15374" max="15374" width="10.5" style="280" customWidth="1"/>
    <col min="15375" max="15616" width="9" style="280"/>
    <col min="15617" max="15617" width="10.25" style="280" bestFit="1" customWidth="1"/>
    <col min="15618" max="15618" width="18.625" style="280" customWidth="1"/>
    <col min="15619" max="15622" width="9" style="280"/>
    <col min="15623" max="15623" width="10.25" style="280" bestFit="1" customWidth="1"/>
    <col min="15624" max="15625" width="9.625" style="280" customWidth="1"/>
    <col min="15626" max="15629" width="10.5" style="280" bestFit="1" customWidth="1"/>
    <col min="15630" max="15630" width="10.5" style="280" customWidth="1"/>
    <col min="15631" max="15872" width="9" style="280"/>
    <col min="15873" max="15873" width="10.25" style="280" bestFit="1" customWidth="1"/>
    <col min="15874" max="15874" width="18.625" style="280" customWidth="1"/>
    <col min="15875" max="15878" width="9" style="280"/>
    <col min="15879" max="15879" width="10.25" style="280" bestFit="1" customWidth="1"/>
    <col min="15880" max="15881" width="9.625" style="280" customWidth="1"/>
    <col min="15882" max="15885" width="10.5" style="280" bestFit="1" customWidth="1"/>
    <col min="15886" max="15886" width="10.5" style="280" customWidth="1"/>
    <col min="15887" max="16128" width="9" style="280"/>
    <col min="16129" max="16129" width="10.25" style="280" bestFit="1" customWidth="1"/>
    <col min="16130" max="16130" width="18.625" style="280" customWidth="1"/>
    <col min="16131" max="16134" width="9" style="280"/>
    <col min="16135" max="16135" width="10.25" style="280" bestFit="1" customWidth="1"/>
    <col min="16136" max="16137" width="9.625" style="280" customWidth="1"/>
    <col min="16138" max="16141" width="10.5" style="280" bestFit="1" customWidth="1"/>
    <col min="16142" max="16142" width="10.5" style="280" customWidth="1"/>
    <col min="16143" max="16384" width="9" style="280"/>
  </cols>
  <sheetData>
    <row r="1" spans="1:14" x14ac:dyDescent="0.15">
      <c r="A1" s="278" t="s">
        <v>166</v>
      </c>
      <c r="B1" s="665">
        <v>39446</v>
      </c>
      <c r="C1" s="665"/>
      <c r="D1" s="665"/>
      <c r="E1" s="665"/>
      <c r="F1" s="665"/>
      <c r="G1" s="278" t="s">
        <v>167</v>
      </c>
      <c r="H1" s="665" t="s">
        <v>168</v>
      </c>
      <c r="I1" s="665"/>
      <c r="J1" s="667" t="s">
        <v>169</v>
      </c>
      <c r="K1" s="667"/>
      <c r="L1" s="668"/>
      <c r="M1" s="668"/>
    </row>
    <row r="2" spans="1:14" x14ac:dyDescent="0.15">
      <c r="A2" s="278" t="s">
        <v>170</v>
      </c>
      <c r="B2" s="667"/>
      <c r="C2" s="667"/>
      <c r="D2" s="667"/>
      <c r="E2" s="667"/>
      <c r="F2" s="667"/>
      <c r="G2" s="278" t="s">
        <v>171</v>
      </c>
      <c r="H2" s="665" t="s">
        <v>168</v>
      </c>
      <c r="I2" s="665"/>
      <c r="J2" s="667" t="s">
        <v>172</v>
      </c>
      <c r="K2" s="667"/>
      <c r="L2" s="672"/>
      <c r="M2" s="672"/>
    </row>
    <row r="3" spans="1:14" x14ac:dyDescent="0.15">
      <c r="A3" s="278" t="s">
        <v>15</v>
      </c>
      <c r="B3" s="665" t="s">
        <v>173</v>
      </c>
      <c r="C3" s="665"/>
      <c r="D3" s="665"/>
      <c r="E3" s="665"/>
      <c r="F3" s="665"/>
      <c r="G3" s="278" t="s">
        <v>174</v>
      </c>
      <c r="H3" s="665" t="s">
        <v>175</v>
      </c>
      <c r="I3" s="665"/>
    </row>
    <row r="4" spans="1:14" x14ac:dyDescent="0.15">
      <c r="D4" s="281"/>
    </row>
    <row r="5" spans="1:14" s="283" customFormat="1" ht="27" x14ac:dyDescent="0.15">
      <c r="A5" s="282" t="s">
        <v>17</v>
      </c>
      <c r="B5" s="282" t="s">
        <v>18</v>
      </c>
      <c r="C5" s="282" t="s">
        <v>176</v>
      </c>
      <c r="D5" s="282" t="s">
        <v>177</v>
      </c>
      <c r="E5" s="282" t="s">
        <v>24</v>
      </c>
      <c r="F5" s="666" t="s">
        <v>22</v>
      </c>
      <c r="G5" s="666"/>
      <c r="H5" s="282" t="s">
        <v>23</v>
      </c>
      <c r="I5" s="282" t="s">
        <v>43</v>
      </c>
      <c r="J5" s="282" t="s">
        <v>70</v>
      </c>
      <c r="K5" s="282" t="s">
        <v>27</v>
      </c>
      <c r="L5" s="282" t="s">
        <v>28</v>
      </c>
      <c r="M5" s="282" t="s">
        <v>178</v>
      </c>
      <c r="N5" s="282" t="s">
        <v>30</v>
      </c>
    </row>
    <row r="6" spans="1:14" s="288" customFormat="1" ht="13.5" customHeight="1" x14ac:dyDescent="0.15">
      <c r="A6" s="284"/>
      <c r="B6" s="285"/>
      <c r="C6" s="286"/>
      <c r="D6" s="286"/>
      <c r="E6" s="279"/>
      <c r="F6" s="663"/>
      <c r="G6" s="663"/>
      <c r="H6" s="287"/>
      <c r="I6" s="287"/>
      <c r="J6" s="279"/>
      <c r="K6" s="279"/>
      <c r="L6" s="279"/>
      <c r="M6" s="279"/>
      <c r="N6" s="279"/>
    </row>
    <row r="7" spans="1:14" x14ac:dyDescent="0.15">
      <c r="A7" s="284"/>
      <c r="B7" s="285"/>
      <c r="C7" s="286"/>
      <c r="D7" s="286"/>
      <c r="E7" s="279"/>
      <c r="F7" s="663"/>
      <c r="G7" s="663"/>
      <c r="H7" s="287"/>
      <c r="I7" s="287"/>
      <c r="J7" s="279"/>
      <c r="K7" s="279"/>
      <c r="L7" s="279"/>
      <c r="M7" s="279"/>
      <c r="N7" s="279"/>
    </row>
    <row r="8" spans="1:14" x14ac:dyDescent="0.15">
      <c r="A8" s="284"/>
      <c r="B8" s="285"/>
      <c r="C8" s="286"/>
      <c r="D8" s="286"/>
      <c r="E8" s="279"/>
      <c r="F8" s="663"/>
      <c r="G8" s="663"/>
      <c r="H8" s="287"/>
      <c r="I8" s="287"/>
      <c r="J8" s="279"/>
      <c r="K8" s="279"/>
      <c r="L8" s="279"/>
      <c r="M8" s="279"/>
      <c r="N8" s="279"/>
    </row>
    <row r="9" spans="1:14" x14ac:dyDescent="0.15">
      <c r="A9" s="284"/>
      <c r="B9" s="285"/>
      <c r="C9" s="286"/>
      <c r="D9" s="286"/>
      <c r="E9" s="279"/>
      <c r="F9" s="663"/>
      <c r="G9" s="663"/>
      <c r="H9" s="287"/>
      <c r="I9" s="287"/>
      <c r="J9" s="279"/>
      <c r="K9" s="279"/>
      <c r="L9" s="279"/>
      <c r="M9" s="279"/>
      <c r="N9" s="279"/>
    </row>
    <row r="10" spans="1:14" x14ac:dyDescent="0.15">
      <c r="A10" s="284"/>
      <c r="B10" s="285"/>
      <c r="C10" s="286"/>
      <c r="D10" s="286"/>
      <c r="E10" s="279"/>
      <c r="F10" s="663"/>
      <c r="G10" s="663"/>
      <c r="H10" s="287"/>
      <c r="I10" s="287"/>
      <c r="J10" s="279"/>
      <c r="K10" s="279"/>
      <c r="L10" s="279"/>
      <c r="M10" s="279"/>
      <c r="N10" s="279"/>
    </row>
    <row r="11" spans="1:14" x14ac:dyDescent="0.15">
      <c r="A11" s="284"/>
      <c r="B11" s="285"/>
      <c r="C11" s="286"/>
      <c r="D11" s="286"/>
      <c r="E11" s="279"/>
      <c r="F11" s="663"/>
      <c r="G11" s="663"/>
      <c r="H11" s="287"/>
      <c r="I11" s="287"/>
      <c r="J11" s="279"/>
      <c r="K11" s="279"/>
      <c r="L11" s="279"/>
      <c r="M11" s="279"/>
      <c r="N11" s="279"/>
    </row>
    <row r="12" spans="1:14" x14ac:dyDescent="0.15">
      <c r="A12" s="284"/>
      <c r="B12" s="285"/>
      <c r="C12" s="286"/>
      <c r="D12" s="286"/>
      <c r="E12" s="279"/>
      <c r="F12" s="663"/>
      <c r="G12" s="663"/>
      <c r="H12" s="287"/>
      <c r="I12" s="287"/>
      <c r="J12" s="279"/>
      <c r="K12" s="279"/>
      <c r="L12" s="279"/>
      <c r="M12" s="279"/>
      <c r="N12" s="279"/>
    </row>
    <row r="13" spans="1:14" x14ac:dyDescent="0.15">
      <c r="A13" s="284"/>
      <c r="B13" s="285"/>
      <c r="C13" s="286"/>
      <c r="D13" s="286"/>
      <c r="E13" s="279"/>
      <c r="F13" s="663"/>
      <c r="G13" s="663"/>
      <c r="H13" s="287"/>
      <c r="I13" s="287"/>
      <c r="J13" s="279"/>
      <c r="K13" s="279"/>
      <c r="L13" s="279"/>
      <c r="M13" s="279"/>
      <c r="N13" s="279"/>
    </row>
    <row r="14" spans="1:14" x14ac:dyDescent="0.15">
      <c r="A14" s="284"/>
      <c r="B14" s="285"/>
      <c r="C14" s="286"/>
      <c r="D14" s="286"/>
      <c r="E14" s="279"/>
      <c r="F14" s="663"/>
      <c r="G14" s="663"/>
      <c r="H14" s="287"/>
      <c r="I14" s="287"/>
      <c r="J14" s="279"/>
      <c r="K14" s="279"/>
      <c r="L14" s="279"/>
      <c r="M14" s="279"/>
      <c r="N14" s="279"/>
    </row>
    <row r="15" spans="1:14" x14ac:dyDescent="0.15">
      <c r="A15" s="284"/>
      <c r="B15" s="285"/>
      <c r="C15" s="286"/>
      <c r="D15" s="286"/>
      <c r="E15" s="279"/>
      <c r="F15" s="663"/>
      <c r="G15" s="663"/>
      <c r="H15" s="287"/>
      <c r="I15" s="287"/>
      <c r="J15" s="279"/>
      <c r="K15" s="279"/>
      <c r="L15" s="279"/>
      <c r="M15" s="279"/>
      <c r="N15" s="279"/>
    </row>
    <row r="16" spans="1:14" x14ac:dyDescent="0.15">
      <c r="A16" s="284"/>
      <c r="B16" s="285"/>
      <c r="C16" s="286"/>
      <c r="D16" s="286"/>
      <c r="E16" s="279"/>
      <c r="F16" s="663"/>
      <c r="G16" s="663"/>
      <c r="H16" s="287"/>
      <c r="I16" s="287"/>
      <c r="J16" s="279"/>
      <c r="K16" s="279"/>
      <c r="L16" s="279"/>
      <c r="M16" s="279"/>
      <c r="N16" s="279"/>
    </row>
    <row r="17" spans="1:14" x14ac:dyDescent="0.15">
      <c r="A17" s="284"/>
      <c r="B17" s="285"/>
      <c r="C17" s="286"/>
      <c r="D17" s="286"/>
      <c r="E17" s="279"/>
      <c r="F17" s="663"/>
      <c r="G17" s="663"/>
      <c r="H17" s="287"/>
      <c r="I17" s="287"/>
      <c r="J17" s="279"/>
      <c r="K17" s="279"/>
      <c r="L17" s="279"/>
      <c r="M17" s="279"/>
      <c r="N17" s="279"/>
    </row>
    <row r="18" spans="1:14" x14ac:dyDescent="0.15">
      <c r="A18" s="284"/>
      <c r="B18" s="285"/>
      <c r="C18" s="286"/>
      <c r="D18" s="286"/>
      <c r="E18" s="279"/>
      <c r="F18" s="663"/>
      <c r="G18" s="663"/>
      <c r="H18" s="287"/>
      <c r="I18" s="287"/>
      <c r="J18" s="279"/>
      <c r="K18" s="279"/>
      <c r="L18" s="279"/>
      <c r="M18" s="279"/>
      <c r="N18" s="279"/>
    </row>
    <row r="19" spans="1:14" x14ac:dyDescent="0.15">
      <c r="A19" s="284"/>
      <c r="B19" s="285"/>
      <c r="C19" s="286"/>
      <c r="D19" s="286"/>
      <c r="E19" s="279"/>
      <c r="F19" s="663"/>
      <c r="G19" s="663"/>
      <c r="H19" s="287"/>
      <c r="I19" s="287"/>
      <c r="J19" s="279"/>
      <c r="K19" s="279"/>
      <c r="L19" s="279"/>
      <c r="M19" s="279"/>
      <c r="N19" s="279"/>
    </row>
    <row r="20" spans="1:14" x14ac:dyDescent="0.15">
      <c r="A20" s="284"/>
      <c r="B20" s="285"/>
      <c r="C20" s="286"/>
      <c r="D20" s="286"/>
      <c r="E20" s="279"/>
      <c r="F20" s="663"/>
      <c r="G20" s="663"/>
      <c r="H20" s="287"/>
      <c r="I20" s="287"/>
      <c r="J20" s="279"/>
      <c r="K20" s="279"/>
      <c r="L20" s="279"/>
      <c r="M20" s="279"/>
      <c r="N20" s="279"/>
    </row>
    <row r="21" spans="1:14" x14ac:dyDescent="0.15">
      <c r="A21" s="284"/>
      <c r="B21" s="285"/>
      <c r="C21" s="286"/>
      <c r="D21" s="286"/>
      <c r="E21" s="279"/>
      <c r="F21" s="663"/>
      <c r="G21" s="663"/>
      <c r="H21" s="287"/>
      <c r="I21" s="287"/>
      <c r="J21" s="279"/>
      <c r="K21" s="279"/>
      <c r="L21" s="279"/>
      <c r="M21" s="279"/>
      <c r="N21" s="279"/>
    </row>
    <row r="22" spans="1:14" x14ac:dyDescent="0.15">
      <c r="A22" s="284"/>
      <c r="B22" s="285"/>
      <c r="C22" s="286"/>
      <c r="D22" s="286"/>
      <c r="E22" s="279"/>
      <c r="F22" s="663"/>
      <c r="G22" s="663"/>
      <c r="H22" s="287"/>
      <c r="I22" s="287"/>
      <c r="J22" s="279"/>
      <c r="K22" s="279"/>
      <c r="L22" s="279"/>
      <c r="M22" s="279"/>
      <c r="N22" s="279"/>
    </row>
    <row r="23" spans="1:14" x14ac:dyDescent="0.15">
      <c r="A23" s="284"/>
      <c r="B23" s="285"/>
      <c r="C23" s="286"/>
      <c r="D23" s="286"/>
      <c r="E23" s="279"/>
      <c r="F23" s="663"/>
      <c r="G23" s="663"/>
      <c r="H23" s="287"/>
      <c r="I23" s="287"/>
      <c r="J23" s="279"/>
      <c r="K23" s="279"/>
      <c r="L23" s="279"/>
      <c r="M23" s="279"/>
      <c r="N23" s="279"/>
    </row>
    <row r="24" spans="1:14" x14ac:dyDescent="0.15">
      <c r="A24" s="284"/>
      <c r="B24" s="285"/>
      <c r="C24" s="286"/>
      <c r="D24" s="286"/>
      <c r="E24" s="279"/>
      <c r="F24" s="663"/>
      <c r="G24" s="663"/>
      <c r="H24" s="287"/>
      <c r="I24" s="287"/>
      <c r="J24" s="279"/>
      <c r="K24" s="279"/>
      <c r="L24" s="279"/>
      <c r="M24" s="279"/>
      <c r="N24" s="279"/>
    </row>
    <row r="25" spans="1:14" x14ac:dyDescent="0.15">
      <c r="A25" s="284"/>
      <c r="B25" s="285"/>
      <c r="C25" s="286"/>
      <c r="D25" s="286"/>
      <c r="E25" s="279"/>
      <c r="F25" s="663"/>
      <c r="G25" s="663"/>
      <c r="H25" s="287"/>
      <c r="I25" s="287"/>
      <c r="J25" s="279"/>
      <c r="K25" s="279"/>
      <c r="L25" s="279"/>
      <c r="M25" s="279"/>
      <c r="N25" s="279"/>
    </row>
    <row r="26" spans="1:14" x14ac:dyDescent="0.15">
      <c r="A26" s="284"/>
      <c r="B26" s="285"/>
      <c r="C26" s="286"/>
      <c r="D26" s="286"/>
      <c r="E26" s="279"/>
      <c r="F26" s="663"/>
      <c r="G26" s="663"/>
      <c r="H26" s="287"/>
      <c r="I26" s="287"/>
      <c r="J26" s="279"/>
      <c r="K26" s="279"/>
      <c r="L26" s="279"/>
      <c r="M26" s="279"/>
      <c r="N26" s="279"/>
    </row>
    <row r="27" spans="1:14" x14ac:dyDescent="0.15">
      <c r="A27" s="284"/>
      <c r="B27" s="285"/>
      <c r="C27" s="286"/>
      <c r="D27" s="286"/>
      <c r="E27" s="279"/>
      <c r="F27" s="663"/>
      <c r="G27" s="663"/>
      <c r="H27" s="287"/>
      <c r="I27" s="287"/>
      <c r="J27" s="279"/>
      <c r="K27" s="279"/>
      <c r="L27" s="279"/>
      <c r="M27" s="279"/>
      <c r="N27" s="279"/>
    </row>
    <row r="28" spans="1:14" x14ac:dyDescent="0.15">
      <c r="A28" s="284"/>
      <c r="B28" s="285"/>
      <c r="C28" s="286"/>
      <c r="D28" s="286"/>
      <c r="E28" s="279"/>
      <c r="F28" s="663"/>
      <c r="G28" s="663"/>
      <c r="H28" s="287"/>
      <c r="I28" s="287"/>
      <c r="J28" s="279"/>
      <c r="K28" s="279"/>
      <c r="L28" s="279"/>
      <c r="M28" s="279"/>
      <c r="N28" s="279"/>
    </row>
    <row r="29" spans="1:14" x14ac:dyDescent="0.15">
      <c r="A29" s="284"/>
      <c r="B29" s="285"/>
      <c r="C29" s="286"/>
      <c r="D29" s="286"/>
      <c r="E29" s="279"/>
      <c r="F29" s="663"/>
      <c r="G29" s="663"/>
      <c r="H29" s="287"/>
      <c r="I29" s="287"/>
      <c r="J29" s="279"/>
      <c r="K29" s="279"/>
      <c r="L29" s="279"/>
      <c r="M29" s="279"/>
      <c r="N29" s="279"/>
    </row>
    <row r="30" spans="1:14" x14ac:dyDescent="0.15">
      <c r="A30" s="284"/>
      <c r="B30" s="285"/>
      <c r="C30" s="286"/>
      <c r="D30" s="286"/>
      <c r="E30" s="279"/>
      <c r="F30" s="663"/>
      <c r="G30" s="663"/>
      <c r="H30" s="287"/>
      <c r="I30" s="287"/>
      <c r="J30" s="279"/>
      <c r="K30" s="279"/>
      <c r="L30" s="279"/>
      <c r="M30" s="279"/>
      <c r="N30" s="279"/>
    </row>
    <row r="31" spans="1:14" x14ac:dyDescent="0.15">
      <c r="A31" s="284"/>
      <c r="B31" s="285"/>
      <c r="C31" s="286"/>
      <c r="D31" s="286"/>
      <c r="E31" s="279"/>
      <c r="F31" s="663"/>
      <c r="G31" s="663"/>
      <c r="H31" s="287"/>
      <c r="I31" s="287"/>
      <c r="J31" s="279"/>
      <c r="K31" s="279"/>
      <c r="L31" s="279"/>
      <c r="M31" s="279"/>
      <c r="N31" s="279"/>
    </row>
    <row r="32" spans="1:14" x14ac:dyDescent="0.15">
      <c r="A32" s="284"/>
      <c r="B32" s="285"/>
      <c r="C32" s="286"/>
      <c r="D32" s="286"/>
      <c r="E32" s="279"/>
      <c r="F32" s="663"/>
      <c r="G32" s="663"/>
      <c r="H32" s="287"/>
      <c r="I32" s="287"/>
      <c r="J32" s="279"/>
      <c r="K32" s="279"/>
      <c r="L32" s="279"/>
      <c r="M32" s="279"/>
      <c r="N32" s="279"/>
    </row>
    <row r="33" spans="1:14" x14ac:dyDescent="0.15">
      <c r="A33" s="284"/>
      <c r="B33" s="285"/>
      <c r="C33" s="286"/>
      <c r="D33" s="286"/>
      <c r="E33" s="279"/>
      <c r="F33" s="663"/>
      <c r="G33" s="663"/>
      <c r="H33" s="287"/>
      <c r="I33" s="287"/>
      <c r="J33" s="279"/>
      <c r="K33" s="279"/>
      <c r="L33" s="279"/>
      <c r="M33" s="279"/>
      <c r="N33" s="279"/>
    </row>
    <row r="34" spans="1:14" x14ac:dyDescent="0.15">
      <c r="A34" s="284"/>
      <c r="B34" s="285"/>
      <c r="C34" s="286"/>
      <c r="D34" s="286"/>
      <c r="E34" s="279"/>
      <c r="F34" s="663"/>
      <c r="G34" s="663"/>
      <c r="H34" s="287"/>
      <c r="I34" s="287"/>
      <c r="J34" s="279"/>
      <c r="K34" s="279"/>
      <c r="L34" s="279"/>
      <c r="M34" s="279"/>
      <c r="N34" s="279"/>
    </row>
    <row r="35" spans="1:14" x14ac:dyDescent="0.15">
      <c r="L35" s="671">
        <f>SUM(L6:M34)</f>
        <v>0</v>
      </c>
      <c r="M35" s="671"/>
    </row>
    <row r="36" spans="1:14" x14ac:dyDescent="0.15">
      <c r="A36" s="289" t="s">
        <v>18</v>
      </c>
      <c r="B36" s="289"/>
      <c r="C36" s="289"/>
      <c r="L36" s="290"/>
      <c r="M36" s="290"/>
    </row>
    <row r="37" spans="1:14" x14ac:dyDescent="0.15">
      <c r="A37" s="289" t="s">
        <v>19</v>
      </c>
      <c r="B37" s="279"/>
      <c r="C37" s="279"/>
      <c r="D37" s="288"/>
      <c r="E37" s="288"/>
      <c r="F37" s="288"/>
      <c r="G37" s="288"/>
      <c r="H37" s="288"/>
      <c r="I37" s="288"/>
      <c r="J37" s="288"/>
      <c r="K37" s="288"/>
      <c r="L37" s="288"/>
      <c r="M37" s="288"/>
    </row>
    <row r="38" spans="1:14" x14ac:dyDescent="0.15">
      <c r="A38" s="289" t="s">
        <v>20</v>
      </c>
      <c r="B38" s="279"/>
      <c r="C38" s="279"/>
      <c r="D38" s="288"/>
      <c r="E38" s="288"/>
      <c r="F38" s="288"/>
      <c r="G38" s="288"/>
      <c r="H38" s="288"/>
      <c r="I38" s="288"/>
      <c r="J38" s="288"/>
      <c r="K38" s="288"/>
      <c r="L38" s="288"/>
      <c r="M38" s="288"/>
    </row>
  </sheetData>
  <mergeCells count="41">
    <mergeCell ref="B1:F1"/>
    <mergeCell ref="H1:I1"/>
    <mergeCell ref="J1:K1"/>
    <mergeCell ref="L1:M1"/>
    <mergeCell ref="B2:F2"/>
    <mergeCell ref="H2:I2"/>
    <mergeCell ref="J2:K2"/>
    <mergeCell ref="L2:M2"/>
    <mergeCell ref="F14:G14"/>
    <mergeCell ref="B3:F3"/>
    <mergeCell ref="H3:I3"/>
    <mergeCell ref="F5:G5"/>
    <mergeCell ref="F6:G6"/>
    <mergeCell ref="F7:G7"/>
    <mergeCell ref="F8:G8"/>
    <mergeCell ref="F9:G9"/>
    <mergeCell ref="F10:G10"/>
    <mergeCell ref="F11:G11"/>
    <mergeCell ref="F12:G12"/>
    <mergeCell ref="F13:G13"/>
    <mergeCell ref="F26:G26"/>
    <mergeCell ref="F15:G15"/>
    <mergeCell ref="F16:G16"/>
    <mergeCell ref="F17:G17"/>
    <mergeCell ref="F18:G18"/>
    <mergeCell ref="F19:G19"/>
    <mergeCell ref="F20:G20"/>
    <mergeCell ref="F21:G21"/>
    <mergeCell ref="F22:G22"/>
    <mergeCell ref="F23:G23"/>
    <mergeCell ref="F24:G24"/>
    <mergeCell ref="F25:G25"/>
    <mergeCell ref="F33:G33"/>
    <mergeCell ref="F34:G34"/>
    <mergeCell ref="L35:M35"/>
    <mergeCell ref="F27:G27"/>
    <mergeCell ref="F28:G28"/>
    <mergeCell ref="F29:G29"/>
    <mergeCell ref="F30:G30"/>
    <mergeCell ref="F31:G31"/>
    <mergeCell ref="F32:G32"/>
  </mergeCells>
  <phoneticPr fontId="3"/>
  <pageMargins left="0.74803149606299213" right="0.39370078740157483" top="0.78740157480314965" bottom="0.78740157480314965" header="0.51181102362204722" footer="0.51181102362204722"/>
  <pageSetup paperSize="9" scale="93" orientation="landscape" horizontalDpi="1200" verticalDpi="1200" r:id="rId1"/>
  <headerFooter alignWithMargins="0">
    <oddHeader>&amp;C&amp;12売買情報</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2DFB-0F4E-46B4-924E-DBDC0C3C2757}">
  <sheetPr codeName="Sheet14"/>
  <dimension ref="A1:AA29"/>
  <sheetViews>
    <sheetView zoomScaleNormal="100" workbookViewId="0">
      <selection activeCell="W19" sqref="W19"/>
    </sheetView>
  </sheetViews>
  <sheetFormatPr defaultRowHeight="13.5" x14ac:dyDescent="0.15"/>
  <cols>
    <col min="1" max="1" width="3.625" style="3" customWidth="1"/>
    <col min="2" max="3" width="10.125" style="3" customWidth="1"/>
    <col min="4" max="4" width="5.625" style="3" customWidth="1"/>
    <col min="5" max="5" width="5.25" style="3" customWidth="1"/>
    <col min="6" max="6" width="8.125" style="3" customWidth="1"/>
    <col min="7" max="7" width="1.625" style="3" customWidth="1"/>
    <col min="8" max="8" width="4.625" style="3" customWidth="1"/>
    <col min="9" max="9" width="1.625" style="3" customWidth="1"/>
    <col min="10" max="10" width="4.625" style="3" customWidth="1"/>
    <col min="11" max="11" width="1.625" style="3" customWidth="1"/>
    <col min="12" max="12" width="8.625" style="3" customWidth="1"/>
    <col min="13" max="15" width="0" style="3" hidden="1" customWidth="1"/>
    <col min="16" max="16" width="10.25" style="3" customWidth="1"/>
    <col min="17" max="17" width="6.625" style="3" customWidth="1"/>
    <col min="18" max="18" width="9.625" style="3" customWidth="1"/>
    <col min="19" max="20" width="6.625" style="3" customWidth="1"/>
    <col min="21" max="21" width="7.125" style="3" customWidth="1"/>
    <col min="22" max="22" width="11.625" style="3" customWidth="1"/>
    <col min="23" max="23" width="9.625" style="3" customWidth="1"/>
    <col min="24" max="24" width="9.625" style="3" hidden="1" customWidth="1"/>
    <col min="25" max="26" width="3.625" style="3" customWidth="1"/>
    <col min="27" max="27" width="5.625" style="3" customWidth="1"/>
    <col min="28" max="28" width="6.625" style="3" customWidth="1"/>
    <col min="29" max="256" width="9" style="3"/>
    <col min="257" max="257" width="3.625" style="3" customWidth="1"/>
    <col min="258" max="259" width="10.125" style="3" customWidth="1"/>
    <col min="260" max="260" width="5.625" style="3" customWidth="1"/>
    <col min="261" max="261" width="5.25" style="3" customWidth="1"/>
    <col min="262" max="262" width="8.125" style="3" customWidth="1"/>
    <col min="263" max="263" width="1.625" style="3" customWidth="1"/>
    <col min="264" max="264" width="4.625" style="3" customWidth="1"/>
    <col min="265" max="265" width="1.625" style="3" customWidth="1"/>
    <col min="266" max="266" width="4.625" style="3" customWidth="1"/>
    <col min="267" max="267" width="1.625" style="3" customWidth="1"/>
    <col min="268" max="268" width="8.625" style="3" customWidth="1"/>
    <col min="269" max="271" width="0" style="3" hidden="1" customWidth="1"/>
    <col min="272" max="272" width="10.25" style="3" customWidth="1"/>
    <col min="273" max="273" width="6.625" style="3" customWidth="1"/>
    <col min="274" max="274" width="9.625" style="3" customWidth="1"/>
    <col min="275" max="276" width="6.625" style="3" customWidth="1"/>
    <col min="277" max="277" width="7.125" style="3" customWidth="1"/>
    <col min="278" max="278" width="11.625" style="3" customWidth="1"/>
    <col min="279" max="279" width="9.625" style="3" customWidth="1"/>
    <col min="280" max="280" width="0" style="3" hidden="1" customWidth="1"/>
    <col min="281" max="282" width="3.625" style="3" customWidth="1"/>
    <col min="283" max="283" width="5.625" style="3" customWidth="1"/>
    <col min="284" max="284" width="6.625" style="3" customWidth="1"/>
    <col min="285" max="512" width="9" style="3"/>
    <col min="513" max="513" width="3.625" style="3" customWidth="1"/>
    <col min="514" max="515" width="10.125" style="3" customWidth="1"/>
    <col min="516" max="516" width="5.625" style="3" customWidth="1"/>
    <col min="517" max="517" width="5.25" style="3" customWidth="1"/>
    <col min="518" max="518" width="8.125" style="3" customWidth="1"/>
    <col min="519" max="519" width="1.625" style="3" customWidth="1"/>
    <col min="520" max="520" width="4.625" style="3" customWidth="1"/>
    <col min="521" max="521" width="1.625" style="3" customWidth="1"/>
    <col min="522" max="522" width="4.625" style="3" customWidth="1"/>
    <col min="523" max="523" width="1.625" style="3" customWidth="1"/>
    <col min="524" max="524" width="8.625" style="3" customWidth="1"/>
    <col min="525" max="527" width="0" style="3" hidden="1" customWidth="1"/>
    <col min="528" max="528" width="10.25" style="3" customWidth="1"/>
    <col min="529" max="529" width="6.625" style="3" customWidth="1"/>
    <col min="530" max="530" width="9.625" style="3" customWidth="1"/>
    <col min="531" max="532" width="6.625" style="3" customWidth="1"/>
    <col min="533" max="533" width="7.125" style="3" customWidth="1"/>
    <col min="534" max="534" width="11.625" style="3" customWidth="1"/>
    <col min="535" max="535" width="9.625" style="3" customWidth="1"/>
    <col min="536" max="536" width="0" style="3" hidden="1" customWidth="1"/>
    <col min="537" max="538" width="3.625" style="3" customWidth="1"/>
    <col min="539" max="539" width="5.625" style="3" customWidth="1"/>
    <col min="540" max="540" width="6.625" style="3" customWidth="1"/>
    <col min="541" max="768" width="9" style="3"/>
    <col min="769" max="769" width="3.625" style="3" customWidth="1"/>
    <col min="770" max="771" width="10.125" style="3" customWidth="1"/>
    <col min="772" max="772" width="5.625" style="3" customWidth="1"/>
    <col min="773" max="773" width="5.25" style="3" customWidth="1"/>
    <col min="774" max="774" width="8.125" style="3" customWidth="1"/>
    <col min="775" max="775" width="1.625" style="3" customWidth="1"/>
    <col min="776" max="776" width="4.625" style="3" customWidth="1"/>
    <col min="777" max="777" width="1.625" style="3" customWidth="1"/>
    <col min="778" max="778" width="4.625" style="3" customWidth="1"/>
    <col min="779" max="779" width="1.625" style="3" customWidth="1"/>
    <col min="780" max="780" width="8.625" style="3" customWidth="1"/>
    <col min="781" max="783" width="0" style="3" hidden="1" customWidth="1"/>
    <col min="784" max="784" width="10.25" style="3" customWidth="1"/>
    <col min="785" max="785" width="6.625" style="3" customWidth="1"/>
    <col min="786" max="786" width="9.625" style="3" customWidth="1"/>
    <col min="787" max="788" width="6.625" style="3" customWidth="1"/>
    <col min="789" max="789" width="7.125" style="3" customWidth="1"/>
    <col min="790" max="790" width="11.625" style="3" customWidth="1"/>
    <col min="791" max="791" width="9.625" style="3" customWidth="1"/>
    <col min="792" max="792" width="0" style="3" hidden="1" customWidth="1"/>
    <col min="793" max="794" width="3.625" style="3" customWidth="1"/>
    <col min="795" max="795" width="5.625" style="3" customWidth="1"/>
    <col min="796" max="796" width="6.625" style="3" customWidth="1"/>
    <col min="797" max="1024" width="9" style="3"/>
    <col min="1025" max="1025" width="3.625" style="3" customWidth="1"/>
    <col min="1026" max="1027" width="10.125" style="3" customWidth="1"/>
    <col min="1028" max="1028" width="5.625" style="3" customWidth="1"/>
    <col min="1029" max="1029" width="5.25" style="3" customWidth="1"/>
    <col min="1030" max="1030" width="8.125" style="3" customWidth="1"/>
    <col min="1031" max="1031" width="1.625" style="3" customWidth="1"/>
    <col min="1032" max="1032" width="4.625" style="3" customWidth="1"/>
    <col min="1033" max="1033" width="1.625" style="3" customWidth="1"/>
    <col min="1034" max="1034" width="4.625" style="3" customWidth="1"/>
    <col min="1035" max="1035" width="1.625" style="3" customWidth="1"/>
    <col min="1036" max="1036" width="8.625" style="3" customWidth="1"/>
    <col min="1037" max="1039" width="0" style="3" hidden="1" customWidth="1"/>
    <col min="1040" max="1040" width="10.25" style="3" customWidth="1"/>
    <col min="1041" max="1041" width="6.625" style="3" customWidth="1"/>
    <col min="1042" max="1042" width="9.625" style="3" customWidth="1"/>
    <col min="1043" max="1044" width="6.625" style="3" customWidth="1"/>
    <col min="1045" max="1045" width="7.125" style="3" customWidth="1"/>
    <col min="1046" max="1046" width="11.625" style="3" customWidth="1"/>
    <col min="1047" max="1047" width="9.625" style="3" customWidth="1"/>
    <col min="1048" max="1048" width="0" style="3" hidden="1" customWidth="1"/>
    <col min="1049" max="1050" width="3.625" style="3" customWidth="1"/>
    <col min="1051" max="1051" width="5.625" style="3" customWidth="1"/>
    <col min="1052" max="1052" width="6.625" style="3" customWidth="1"/>
    <col min="1053" max="1280" width="9" style="3"/>
    <col min="1281" max="1281" width="3.625" style="3" customWidth="1"/>
    <col min="1282" max="1283" width="10.125" style="3" customWidth="1"/>
    <col min="1284" max="1284" width="5.625" style="3" customWidth="1"/>
    <col min="1285" max="1285" width="5.25" style="3" customWidth="1"/>
    <col min="1286" max="1286" width="8.125" style="3" customWidth="1"/>
    <col min="1287" max="1287" width="1.625" style="3" customWidth="1"/>
    <col min="1288" max="1288" width="4.625" style="3" customWidth="1"/>
    <col min="1289" max="1289" width="1.625" style="3" customWidth="1"/>
    <col min="1290" max="1290" width="4.625" style="3" customWidth="1"/>
    <col min="1291" max="1291" width="1.625" style="3" customWidth="1"/>
    <col min="1292" max="1292" width="8.625" style="3" customWidth="1"/>
    <col min="1293" max="1295" width="0" style="3" hidden="1" customWidth="1"/>
    <col min="1296" max="1296" width="10.25" style="3" customWidth="1"/>
    <col min="1297" max="1297" width="6.625" style="3" customWidth="1"/>
    <col min="1298" max="1298" width="9.625" style="3" customWidth="1"/>
    <col min="1299" max="1300" width="6.625" style="3" customWidth="1"/>
    <col min="1301" max="1301" width="7.125" style="3" customWidth="1"/>
    <col min="1302" max="1302" width="11.625" style="3" customWidth="1"/>
    <col min="1303" max="1303" width="9.625" style="3" customWidth="1"/>
    <col min="1304" max="1304" width="0" style="3" hidden="1" customWidth="1"/>
    <col min="1305" max="1306" width="3.625" style="3" customWidth="1"/>
    <col min="1307" max="1307" width="5.625" style="3" customWidth="1"/>
    <col min="1308" max="1308" width="6.625" style="3" customWidth="1"/>
    <col min="1309" max="1536" width="9" style="3"/>
    <col min="1537" max="1537" width="3.625" style="3" customWidth="1"/>
    <col min="1538" max="1539" width="10.125" style="3" customWidth="1"/>
    <col min="1540" max="1540" width="5.625" style="3" customWidth="1"/>
    <col min="1541" max="1541" width="5.25" style="3" customWidth="1"/>
    <col min="1542" max="1542" width="8.125" style="3" customWidth="1"/>
    <col min="1543" max="1543" width="1.625" style="3" customWidth="1"/>
    <col min="1544" max="1544" width="4.625" style="3" customWidth="1"/>
    <col min="1545" max="1545" width="1.625" style="3" customWidth="1"/>
    <col min="1546" max="1546" width="4.625" style="3" customWidth="1"/>
    <col min="1547" max="1547" width="1.625" style="3" customWidth="1"/>
    <col min="1548" max="1548" width="8.625" style="3" customWidth="1"/>
    <col min="1549" max="1551" width="0" style="3" hidden="1" customWidth="1"/>
    <col min="1552" max="1552" width="10.25" style="3" customWidth="1"/>
    <col min="1553" max="1553" width="6.625" style="3" customWidth="1"/>
    <col min="1554" max="1554" width="9.625" style="3" customWidth="1"/>
    <col min="1555" max="1556" width="6.625" style="3" customWidth="1"/>
    <col min="1557" max="1557" width="7.125" style="3" customWidth="1"/>
    <col min="1558" max="1558" width="11.625" style="3" customWidth="1"/>
    <col min="1559" max="1559" width="9.625" style="3" customWidth="1"/>
    <col min="1560" max="1560" width="0" style="3" hidden="1" customWidth="1"/>
    <col min="1561" max="1562" width="3.625" style="3" customWidth="1"/>
    <col min="1563" max="1563" width="5.625" style="3" customWidth="1"/>
    <col min="1564" max="1564" width="6.625" style="3" customWidth="1"/>
    <col min="1565" max="1792" width="9" style="3"/>
    <col min="1793" max="1793" width="3.625" style="3" customWidth="1"/>
    <col min="1794" max="1795" width="10.125" style="3" customWidth="1"/>
    <col min="1796" max="1796" width="5.625" style="3" customWidth="1"/>
    <col min="1797" max="1797" width="5.25" style="3" customWidth="1"/>
    <col min="1798" max="1798" width="8.125" style="3" customWidth="1"/>
    <col min="1799" max="1799" width="1.625" style="3" customWidth="1"/>
    <col min="1800" max="1800" width="4.625" style="3" customWidth="1"/>
    <col min="1801" max="1801" width="1.625" style="3" customWidth="1"/>
    <col min="1802" max="1802" width="4.625" style="3" customWidth="1"/>
    <col min="1803" max="1803" width="1.625" style="3" customWidth="1"/>
    <col min="1804" max="1804" width="8.625" style="3" customWidth="1"/>
    <col min="1805" max="1807" width="0" style="3" hidden="1" customWidth="1"/>
    <col min="1808" max="1808" width="10.25" style="3" customWidth="1"/>
    <col min="1809" max="1809" width="6.625" style="3" customWidth="1"/>
    <col min="1810" max="1810" width="9.625" style="3" customWidth="1"/>
    <col min="1811" max="1812" width="6.625" style="3" customWidth="1"/>
    <col min="1813" max="1813" width="7.125" style="3" customWidth="1"/>
    <col min="1814" max="1814" width="11.625" style="3" customWidth="1"/>
    <col min="1815" max="1815" width="9.625" style="3" customWidth="1"/>
    <col min="1816" max="1816" width="0" style="3" hidden="1" customWidth="1"/>
    <col min="1817" max="1818" width="3.625" style="3" customWidth="1"/>
    <col min="1819" max="1819" width="5.625" style="3" customWidth="1"/>
    <col min="1820" max="1820" width="6.625" style="3" customWidth="1"/>
    <col min="1821" max="2048" width="9" style="3"/>
    <col min="2049" max="2049" width="3.625" style="3" customWidth="1"/>
    <col min="2050" max="2051" width="10.125" style="3" customWidth="1"/>
    <col min="2052" max="2052" width="5.625" style="3" customWidth="1"/>
    <col min="2053" max="2053" width="5.25" style="3" customWidth="1"/>
    <col min="2054" max="2054" width="8.125" style="3" customWidth="1"/>
    <col min="2055" max="2055" width="1.625" style="3" customWidth="1"/>
    <col min="2056" max="2056" width="4.625" style="3" customWidth="1"/>
    <col min="2057" max="2057" width="1.625" style="3" customWidth="1"/>
    <col min="2058" max="2058" width="4.625" style="3" customWidth="1"/>
    <col min="2059" max="2059" width="1.625" style="3" customWidth="1"/>
    <col min="2060" max="2060" width="8.625" style="3" customWidth="1"/>
    <col min="2061" max="2063" width="0" style="3" hidden="1" customWidth="1"/>
    <col min="2064" max="2064" width="10.25" style="3" customWidth="1"/>
    <col min="2065" max="2065" width="6.625" style="3" customWidth="1"/>
    <col min="2066" max="2066" width="9.625" style="3" customWidth="1"/>
    <col min="2067" max="2068" width="6.625" style="3" customWidth="1"/>
    <col min="2069" max="2069" width="7.125" style="3" customWidth="1"/>
    <col min="2070" max="2070" width="11.625" style="3" customWidth="1"/>
    <col min="2071" max="2071" width="9.625" style="3" customWidth="1"/>
    <col min="2072" max="2072" width="0" style="3" hidden="1" customWidth="1"/>
    <col min="2073" max="2074" width="3.625" style="3" customWidth="1"/>
    <col min="2075" max="2075" width="5.625" style="3" customWidth="1"/>
    <col min="2076" max="2076" width="6.625" style="3" customWidth="1"/>
    <col min="2077" max="2304" width="9" style="3"/>
    <col min="2305" max="2305" width="3.625" style="3" customWidth="1"/>
    <col min="2306" max="2307" width="10.125" style="3" customWidth="1"/>
    <col min="2308" max="2308" width="5.625" style="3" customWidth="1"/>
    <col min="2309" max="2309" width="5.25" style="3" customWidth="1"/>
    <col min="2310" max="2310" width="8.125" style="3" customWidth="1"/>
    <col min="2311" max="2311" width="1.625" style="3" customWidth="1"/>
    <col min="2312" max="2312" width="4.625" style="3" customWidth="1"/>
    <col min="2313" max="2313" width="1.625" style="3" customWidth="1"/>
    <col min="2314" max="2314" width="4.625" style="3" customWidth="1"/>
    <col min="2315" max="2315" width="1.625" style="3" customWidth="1"/>
    <col min="2316" max="2316" width="8.625" style="3" customWidth="1"/>
    <col min="2317" max="2319" width="0" style="3" hidden="1" customWidth="1"/>
    <col min="2320" max="2320" width="10.25" style="3" customWidth="1"/>
    <col min="2321" max="2321" width="6.625" style="3" customWidth="1"/>
    <col min="2322" max="2322" width="9.625" style="3" customWidth="1"/>
    <col min="2323" max="2324" width="6.625" style="3" customWidth="1"/>
    <col min="2325" max="2325" width="7.125" style="3" customWidth="1"/>
    <col min="2326" max="2326" width="11.625" style="3" customWidth="1"/>
    <col min="2327" max="2327" width="9.625" style="3" customWidth="1"/>
    <col min="2328" max="2328" width="0" style="3" hidden="1" customWidth="1"/>
    <col min="2329" max="2330" width="3.625" style="3" customWidth="1"/>
    <col min="2331" max="2331" width="5.625" style="3" customWidth="1"/>
    <col min="2332" max="2332" width="6.625" style="3" customWidth="1"/>
    <col min="2333" max="2560" width="9" style="3"/>
    <col min="2561" max="2561" width="3.625" style="3" customWidth="1"/>
    <col min="2562" max="2563" width="10.125" style="3" customWidth="1"/>
    <col min="2564" max="2564" width="5.625" style="3" customWidth="1"/>
    <col min="2565" max="2565" width="5.25" style="3" customWidth="1"/>
    <col min="2566" max="2566" width="8.125" style="3" customWidth="1"/>
    <col min="2567" max="2567" width="1.625" style="3" customWidth="1"/>
    <col min="2568" max="2568" width="4.625" style="3" customWidth="1"/>
    <col min="2569" max="2569" width="1.625" style="3" customWidth="1"/>
    <col min="2570" max="2570" width="4.625" style="3" customWidth="1"/>
    <col min="2571" max="2571" width="1.625" style="3" customWidth="1"/>
    <col min="2572" max="2572" width="8.625" style="3" customWidth="1"/>
    <col min="2573" max="2575" width="0" style="3" hidden="1" customWidth="1"/>
    <col min="2576" max="2576" width="10.25" style="3" customWidth="1"/>
    <col min="2577" max="2577" width="6.625" style="3" customWidth="1"/>
    <col min="2578" max="2578" width="9.625" style="3" customWidth="1"/>
    <col min="2579" max="2580" width="6.625" style="3" customWidth="1"/>
    <col min="2581" max="2581" width="7.125" style="3" customWidth="1"/>
    <col min="2582" max="2582" width="11.625" style="3" customWidth="1"/>
    <col min="2583" max="2583" width="9.625" style="3" customWidth="1"/>
    <col min="2584" max="2584" width="0" style="3" hidden="1" customWidth="1"/>
    <col min="2585" max="2586" width="3.625" style="3" customWidth="1"/>
    <col min="2587" max="2587" width="5.625" style="3" customWidth="1"/>
    <col min="2588" max="2588" width="6.625" style="3" customWidth="1"/>
    <col min="2589" max="2816" width="9" style="3"/>
    <col min="2817" max="2817" width="3.625" style="3" customWidth="1"/>
    <col min="2818" max="2819" width="10.125" style="3" customWidth="1"/>
    <col min="2820" max="2820" width="5.625" style="3" customWidth="1"/>
    <col min="2821" max="2821" width="5.25" style="3" customWidth="1"/>
    <col min="2822" max="2822" width="8.125" style="3" customWidth="1"/>
    <col min="2823" max="2823" width="1.625" style="3" customWidth="1"/>
    <col min="2824" max="2824" width="4.625" style="3" customWidth="1"/>
    <col min="2825" max="2825" width="1.625" style="3" customWidth="1"/>
    <col min="2826" max="2826" width="4.625" style="3" customWidth="1"/>
    <col min="2827" max="2827" width="1.625" style="3" customWidth="1"/>
    <col min="2828" max="2828" width="8.625" style="3" customWidth="1"/>
    <col min="2829" max="2831" width="0" style="3" hidden="1" customWidth="1"/>
    <col min="2832" max="2832" width="10.25" style="3" customWidth="1"/>
    <col min="2833" max="2833" width="6.625" style="3" customWidth="1"/>
    <col min="2834" max="2834" width="9.625" style="3" customWidth="1"/>
    <col min="2835" max="2836" width="6.625" style="3" customWidth="1"/>
    <col min="2837" max="2837" width="7.125" style="3" customWidth="1"/>
    <col min="2838" max="2838" width="11.625" style="3" customWidth="1"/>
    <col min="2839" max="2839" width="9.625" style="3" customWidth="1"/>
    <col min="2840" max="2840" width="0" style="3" hidden="1" customWidth="1"/>
    <col min="2841" max="2842" width="3.625" style="3" customWidth="1"/>
    <col min="2843" max="2843" width="5.625" style="3" customWidth="1"/>
    <col min="2844" max="2844" width="6.625" style="3" customWidth="1"/>
    <col min="2845" max="3072" width="9" style="3"/>
    <col min="3073" max="3073" width="3.625" style="3" customWidth="1"/>
    <col min="3074" max="3075" width="10.125" style="3" customWidth="1"/>
    <col min="3076" max="3076" width="5.625" style="3" customWidth="1"/>
    <col min="3077" max="3077" width="5.25" style="3" customWidth="1"/>
    <col min="3078" max="3078" width="8.125" style="3" customWidth="1"/>
    <col min="3079" max="3079" width="1.625" style="3" customWidth="1"/>
    <col min="3080" max="3080" width="4.625" style="3" customWidth="1"/>
    <col min="3081" max="3081" width="1.625" style="3" customWidth="1"/>
    <col min="3082" max="3082" width="4.625" style="3" customWidth="1"/>
    <col min="3083" max="3083" width="1.625" style="3" customWidth="1"/>
    <col min="3084" max="3084" width="8.625" style="3" customWidth="1"/>
    <col min="3085" max="3087" width="0" style="3" hidden="1" customWidth="1"/>
    <col min="3088" max="3088" width="10.25" style="3" customWidth="1"/>
    <col min="3089" max="3089" width="6.625" style="3" customWidth="1"/>
    <col min="3090" max="3090" width="9.625" style="3" customWidth="1"/>
    <col min="3091" max="3092" width="6.625" style="3" customWidth="1"/>
    <col min="3093" max="3093" width="7.125" style="3" customWidth="1"/>
    <col min="3094" max="3094" width="11.625" style="3" customWidth="1"/>
    <col min="3095" max="3095" width="9.625" style="3" customWidth="1"/>
    <col min="3096" max="3096" width="0" style="3" hidden="1" customWidth="1"/>
    <col min="3097" max="3098" width="3.625" style="3" customWidth="1"/>
    <col min="3099" max="3099" width="5.625" style="3" customWidth="1"/>
    <col min="3100" max="3100" width="6.625" style="3" customWidth="1"/>
    <col min="3101" max="3328" width="9" style="3"/>
    <col min="3329" max="3329" width="3.625" style="3" customWidth="1"/>
    <col min="3330" max="3331" width="10.125" style="3" customWidth="1"/>
    <col min="3332" max="3332" width="5.625" style="3" customWidth="1"/>
    <col min="3333" max="3333" width="5.25" style="3" customWidth="1"/>
    <col min="3334" max="3334" width="8.125" style="3" customWidth="1"/>
    <col min="3335" max="3335" width="1.625" style="3" customWidth="1"/>
    <col min="3336" max="3336" width="4.625" style="3" customWidth="1"/>
    <col min="3337" max="3337" width="1.625" style="3" customWidth="1"/>
    <col min="3338" max="3338" width="4.625" style="3" customWidth="1"/>
    <col min="3339" max="3339" width="1.625" style="3" customWidth="1"/>
    <col min="3340" max="3340" width="8.625" style="3" customWidth="1"/>
    <col min="3341" max="3343" width="0" style="3" hidden="1" customWidth="1"/>
    <col min="3344" max="3344" width="10.25" style="3" customWidth="1"/>
    <col min="3345" max="3345" width="6.625" style="3" customWidth="1"/>
    <col min="3346" max="3346" width="9.625" style="3" customWidth="1"/>
    <col min="3347" max="3348" width="6.625" style="3" customWidth="1"/>
    <col min="3349" max="3349" width="7.125" style="3" customWidth="1"/>
    <col min="3350" max="3350" width="11.625" style="3" customWidth="1"/>
    <col min="3351" max="3351" width="9.625" style="3" customWidth="1"/>
    <col min="3352" max="3352" width="0" style="3" hidden="1" customWidth="1"/>
    <col min="3353" max="3354" width="3.625" style="3" customWidth="1"/>
    <col min="3355" max="3355" width="5.625" style="3" customWidth="1"/>
    <col min="3356" max="3356" width="6.625" style="3" customWidth="1"/>
    <col min="3357" max="3584" width="9" style="3"/>
    <col min="3585" max="3585" width="3.625" style="3" customWidth="1"/>
    <col min="3586" max="3587" width="10.125" style="3" customWidth="1"/>
    <col min="3588" max="3588" width="5.625" style="3" customWidth="1"/>
    <col min="3589" max="3589" width="5.25" style="3" customWidth="1"/>
    <col min="3590" max="3590" width="8.125" style="3" customWidth="1"/>
    <col min="3591" max="3591" width="1.625" style="3" customWidth="1"/>
    <col min="3592" max="3592" width="4.625" style="3" customWidth="1"/>
    <col min="3593" max="3593" width="1.625" style="3" customWidth="1"/>
    <col min="3594" max="3594" width="4.625" style="3" customWidth="1"/>
    <col min="3595" max="3595" width="1.625" style="3" customWidth="1"/>
    <col min="3596" max="3596" width="8.625" style="3" customWidth="1"/>
    <col min="3597" max="3599" width="0" style="3" hidden="1" customWidth="1"/>
    <col min="3600" max="3600" width="10.25" style="3" customWidth="1"/>
    <col min="3601" max="3601" width="6.625" style="3" customWidth="1"/>
    <col min="3602" max="3602" width="9.625" style="3" customWidth="1"/>
    <col min="3603" max="3604" width="6.625" style="3" customWidth="1"/>
    <col min="3605" max="3605" width="7.125" style="3" customWidth="1"/>
    <col min="3606" max="3606" width="11.625" style="3" customWidth="1"/>
    <col min="3607" max="3607" width="9.625" style="3" customWidth="1"/>
    <col min="3608" max="3608" width="0" style="3" hidden="1" customWidth="1"/>
    <col min="3609" max="3610" width="3.625" style="3" customWidth="1"/>
    <col min="3611" max="3611" width="5.625" style="3" customWidth="1"/>
    <col min="3612" max="3612" width="6.625" style="3" customWidth="1"/>
    <col min="3613" max="3840" width="9" style="3"/>
    <col min="3841" max="3841" width="3.625" style="3" customWidth="1"/>
    <col min="3842" max="3843" width="10.125" style="3" customWidth="1"/>
    <col min="3844" max="3844" width="5.625" style="3" customWidth="1"/>
    <col min="3845" max="3845" width="5.25" style="3" customWidth="1"/>
    <col min="3846" max="3846" width="8.125" style="3" customWidth="1"/>
    <col min="3847" max="3847" width="1.625" style="3" customWidth="1"/>
    <col min="3848" max="3848" width="4.625" style="3" customWidth="1"/>
    <col min="3849" max="3849" width="1.625" style="3" customWidth="1"/>
    <col min="3850" max="3850" width="4.625" style="3" customWidth="1"/>
    <col min="3851" max="3851" width="1.625" style="3" customWidth="1"/>
    <col min="3852" max="3852" width="8.625" style="3" customWidth="1"/>
    <col min="3853" max="3855" width="0" style="3" hidden="1" customWidth="1"/>
    <col min="3856" max="3856" width="10.25" style="3" customWidth="1"/>
    <col min="3857" max="3857" width="6.625" style="3" customWidth="1"/>
    <col min="3858" max="3858" width="9.625" style="3" customWidth="1"/>
    <col min="3859" max="3860" width="6.625" style="3" customWidth="1"/>
    <col min="3861" max="3861" width="7.125" style="3" customWidth="1"/>
    <col min="3862" max="3862" width="11.625" style="3" customWidth="1"/>
    <col min="3863" max="3863" width="9.625" style="3" customWidth="1"/>
    <col min="3864" max="3864" width="0" style="3" hidden="1" customWidth="1"/>
    <col min="3865" max="3866" width="3.625" style="3" customWidth="1"/>
    <col min="3867" max="3867" width="5.625" style="3" customWidth="1"/>
    <col min="3868" max="3868" width="6.625" style="3" customWidth="1"/>
    <col min="3869" max="4096" width="9" style="3"/>
    <col min="4097" max="4097" width="3.625" style="3" customWidth="1"/>
    <col min="4098" max="4099" width="10.125" style="3" customWidth="1"/>
    <col min="4100" max="4100" width="5.625" style="3" customWidth="1"/>
    <col min="4101" max="4101" width="5.25" style="3" customWidth="1"/>
    <col min="4102" max="4102" width="8.125" style="3" customWidth="1"/>
    <col min="4103" max="4103" width="1.625" style="3" customWidth="1"/>
    <col min="4104" max="4104" width="4.625" style="3" customWidth="1"/>
    <col min="4105" max="4105" width="1.625" style="3" customWidth="1"/>
    <col min="4106" max="4106" width="4.625" style="3" customWidth="1"/>
    <col min="4107" max="4107" width="1.625" style="3" customWidth="1"/>
    <col min="4108" max="4108" width="8.625" style="3" customWidth="1"/>
    <col min="4109" max="4111" width="0" style="3" hidden="1" customWidth="1"/>
    <col min="4112" max="4112" width="10.25" style="3" customWidth="1"/>
    <col min="4113" max="4113" width="6.625" style="3" customWidth="1"/>
    <col min="4114" max="4114" width="9.625" style="3" customWidth="1"/>
    <col min="4115" max="4116" width="6.625" style="3" customWidth="1"/>
    <col min="4117" max="4117" width="7.125" style="3" customWidth="1"/>
    <col min="4118" max="4118" width="11.625" style="3" customWidth="1"/>
    <col min="4119" max="4119" width="9.625" style="3" customWidth="1"/>
    <col min="4120" max="4120" width="0" style="3" hidden="1" customWidth="1"/>
    <col min="4121" max="4122" width="3.625" style="3" customWidth="1"/>
    <col min="4123" max="4123" width="5.625" style="3" customWidth="1"/>
    <col min="4124" max="4124" width="6.625" style="3" customWidth="1"/>
    <col min="4125" max="4352" width="9" style="3"/>
    <col min="4353" max="4353" width="3.625" style="3" customWidth="1"/>
    <col min="4354" max="4355" width="10.125" style="3" customWidth="1"/>
    <col min="4356" max="4356" width="5.625" style="3" customWidth="1"/>
    <col min="4357" max="4357" width="5.25" style="3" customWidth="1"/>
    <col min="4358" max="4358" width="8.125" style="3" customWidth="1"/>
    <col min="4359" max="4359" width="1.625" style="3" customWidth="1"/>
    <col min="4360" max="4360" width="4.625" style="3" customWidth="1"/>
    <col min="4361" max="4361" width="1.625" style="3" customWidth="1"/>
    <col min="4362" max="4362" width="4.625" style="3" customWidth="1"/>
    <col min="4363" max="4363" width="1.625" style="3" customWidth="1"/>
    <col min="4364" max="4364" width="8.625" style="3" customWidth="1"/>
    <col min="4365" max="4367" width="0" style="3" hidden="1" customWidth="1"/>
    <col min="4368" max="4368" width="10.25" style="3" customWidth="1"/>
    <col min="4369" max="4369" width="6.625" style="3" customWidth="1"/>
    <col min="4370" max="4370" width="9.625" style="3" customWidth="1"/>
    <col min="4371" max="4372" width="6.625" style="3" customWidth="1"/>
    <col min="4373" max="4373" width="7.125" style="3" customWidth="1"/>
    <col min="4374" max="4374" width="11.625" style="3" customWidth="1"/>
    <col min="4375" max="4375" width="9.625" style="3" customWidth="1"/>
    <col min="4376" max="4376" width="0" style="3" hidden="1" customWidth="1"/>
    <col min="4377" max="4378" width="3.625" style="3" customWidth="1"/>
    <col min="4379" max="4379" width="5.625" style="3" customWidth="1"/>
    <col min="4380" max="4380" width="6.625" style="3" customWidth="1"/>
    <col min="4381" max="4608" width="9" style="3"/>
    <col min="4609" max="4609" width="3.625" style="3" customWidth="1"/>
    <col min="4610" max="4611" width="10.125" style="3" customWidth="1"/>
    <col min="4612" max="4612" width="5.625" style="3" customWidth="1"/>
    <col min="4613" max="4613" width="5.25" style="3" customWidth="1"/>
    <col min="4614" max="4614" width="8.125" style="3" customWidth="1"/>
    <col min="4615" max="4615" width="1.625" style="3" customWidth="1"/>
    <col min="4616" max="4616" width="4.625" style="3" customWidth="1"/>
    <col min="4617" max="4617" width="1.625" style="3" customWidth="1"/>
    <col min="4618" max="4618" width="4.625" style="3" customWidth="1"/>
    <col min="4619" max="4619" width="1.625" style="3" customWidth="1"/>
    <col min="4620" max="4620" width="8.625" style="3" customWidth="1"/>
    <col min="4621" max="4623" width="0" style="3" hidden="1" customWidth="1"/>
    <col min="4624" max="4624" width="10.25" style="3" customWidth="1"/>
    <col min="4625" max="4625" width="6.625" style="3" customWidth="1"/>
    <col min="4626" max="4626" width="9.625" style="3" customWidth="1"/>
    <col min="4627" max="4628" width="6.625" style="3" customWidth="1"/>
    <col min="4629" max="4629" width="7.125" style="3" customWidth="1"/>
    <col min="4630" max="4630" width="11.625" style="3" customWidth="1"/>
    <col min="4631" max="4631" width="9.625" style="3" customWidth="1"/>
    <col min="4632" max="4632" width="0" style="3" hidden="1" customWidth="1"/>
    <col min="4633" max="4634" width="3.625" style="3" customWidth="1"/>
    <col min="4635" max="4635" width="5.625" style="3" customWidth="1"/>
    <col min="4636" max="4636" width="6.625" style="3" customWidth="1"/>
    <col min="4637" max="4864" width="9" style="3"/>
    <col min="4865" max="4865" width="3.625" style="3" customWidth="1"/>
    <col min="4866" max="4867" width="10.125" style="3" customWidth="1"/>
    <col min="4868" max="4868" width="5.625" style="3" customWidth="1"/>
    <col min="4869" max="4869" width="5.25" style="3" customWidth="1"/>
    <col min="4870" max="4870" width="8.125" style="3" customWidth="1"/>
    <col min="4871" max="4871" width="1.625" style="3" customWidth="1"/>
    <col min="4872" max="4872" width="4.625" style="3" customWidth="1"/>
    <col min="4873" max="4873" width="1.625" style="3" customWidth="1"/>
    <col min="4874" max="4874" width="4.625" style="3" customWidth="1"/>
    <col min="4875" max="4875" width="1.625" style="3" customWidth="1"/>
    <col min="4876" max="4876" width="8.625" style="3" customWidth="1"/>
    <col min="4877" max="4879" width="0" style="3" hidden="1" customWidth="1"/>
    <col min="4880" max="4880" width="10.25" style="3" customWidth="1"/>
    <col min="4881" max="4881" width="6.625" style="3" customWidth="1"/>
    <col min="4882" max="4882" width="9.625" style="3" customWidth="1"/>
    <col min="4883" max="4884" width="6.625" style="3" customWidth="1"/>
    <col min="4885" max="4885" width="7.125" style="3" customWidth="1"/>
    <col min="4886" max="4886" width="11.625" style="3" customWidth="1"/>
    <col min="4887" max="4887" width="9.625" style="3" customWidth="1"/>
    <col min="4888" max="4888" width="0" style="3" hidden="1" customWidth="1"/>
    <col min="4889" max="4890" width="3.625" style="3" customWidth="1"/>
    <col min="4891" max="4891" width="5.625" style="3" customWidth="1"/>
    <col min="4892" max="4892" width="6.625" style="3" customWidth="1"/>
    <col min="4893" max="5120" width="9" style="3"/>
    <col min="5121" max="5121" width="3.625" style="3" customWidth="1"/>
    <col min="5122" max="5123" width="10.125" style="3" customWidth="1"/>
    <col min="5124" max="5124" width="5.625" style="3" customWidth="1"/>
    <col min="5125" max="5125" width="5.25" style="3" customWidth="1"/>
    <col min="5126" max="5126" width="8.125" style="3" customWidth="1"/>
    <col min="5127" max="5127" width="1.625" style="3" customWidth="1"/>
    <col min="5128" max="5128" width="4.625" style="3" customWidth="1"/>
    <col min="5129" max="5129" width="1.625" style="3" customWidth="1"/>
    <col min="5130" max="5130" width="4.625" style="3" customWidth="1"/>
    <col min="5131" max="5131" width="1.625" style="3" customWidth="1"/>
    <col min="5132" max="5132" width="8.625" style="3" customWidth="1"/>
    <col min="5133" max="5135" width="0" style="3" hidden="1" customWidth="1"/>
    <col min="5136" max="5136" width="10.25" style="3" customWidth="1"/>
    <col min="5137" max="5137" width="6.625" style="3" customWidth="1"/>
    <col min="5138" max="5138" width="9.625" style="3" customWidth="1"/>
    <col min="5139" max="5140" width="6.625" style="3" customWidth="1"/>
    <col min="5141" max="5141" width="7.125" style="3" customWidth="1"/>
    <col min="5142" max="5142" width="11.625" style="3" customWidth="1"/>
    <col min="5143" max="5143" width="9.625" style="3" customWidth="1"/>
    <col min="5144" max="5144" width="0" style="3" hidden="1" customWidth="1"/>
    <col min="5145" max="5146" width="3.625" style="3" customWidth="1"/>
    <col min="5147" max="5147" width="5.625" style="3" customWidth="1"/>
    <col min="5148" max="5148" width="6.625" style="3" customWidth="1"/>
    <col min="5149" max="5376" width="9" style="3"/>
    <col min="5377" max="5377" width="3.625" style="3" customWidth="1"/>
    <col min="5378" max="5379" width="10.125" style="3" customWidth="1"/>
    <col min="5380" max="5380" width="5.625" style="3" customWidth="1"/>
    <col min="5381" max="5381" width="5.25" style="3" customWidth="1"/>
    <col min="5382" max="5382" width="8.125" style="3" customWidth="1"/>
    <col min="5383" max="5383" width="1.625" style="3" customWidth="1"/>
    <col min="5384" max="5384" width="4.625" style="3" customWidth="1"/>
    <col min="5385" max="5385" width="1.625" style="3" customWidth="1"/>
    <col min="5386" max="5386" width="4.625" style="3" customWidth="1"/>
    <col min="5387" max="5387" width="1.625" style="3" customWidth="1"/>
    <col min="5388" max="5388" width="8.625" style="3" customWidth="1"/>
    <col min="5389" max="5391" width="0" style="3" hidden="1" customWidth="1"/>
    <col min="5392" max="5392" width="10.25" style="3" customWidth="1"/>
    <col min="5393" max="5393" width="6.625" style="3" customWidth="1"/>
    <col min="5394" max="5394" width="9.625" style="3" customWidth="1"/>
    <col min="5395" max="5396" width="6.625" style="3" customWidth="1"/>
    <col min="5397" max="5397" width="7.125" style="3" customWidth="1"/>
    <col min="5398" max="5398" width="11.625" style="3" customWidth="1"/>
    <col min="5399" max="5399" width="9.625" style="3" customWidth="1"/>
    <col min="5400" max="5400" width="0" style="3" hidden="1" customWidth="1"/>
    <col min="5401" max="5402" width="3.625" style="3" customWidth="1"/>
    <col min="5403" max="5403" width="5.625" style="3" customWidth="1"/>
    <col min="5404" max="5404" width="6.625" style="3" customWidth="1"/>
    <col min="5405" max="5632" width="9" style="3"/>
    <col min="5633" max="5633" width="3.625" style="3" customWidth="1"/>
    <col min="5634" max="5635" width="10.125" style="3" customWidth="1"/>
    <col min="5636" max="5636" width="5.625" style="3" customWidth="1"/>
    <col min="5637" max="5637" width="5.25" style="3" customWidth="1"/>
    <col min="5638" max="5638" width="8.125" style="3" customWidth="1"/>
    <col min="5639" max="5639" width="1.625" style="3" customWidth="1"/>
    <col min="5640" max="5640" width="4.625" style="3" customWidth="1"/>
    <col min="5641" max="5641" width="1.625" style="3" customWidth="1"/>
    <col min="5642" max="5642" width="4.625" style="3" customWidth="1"/>
    <col min="5643" max="5643" width="1.625" style="3" customWidth="1"/>
    <col min="5644" max="5644" width="8.625" style="3" customWidth="1"/>
    <col min="5645" max="5647" width="0" style="3" hidden="1" customWidth="1"/>
    <col min="5648" max="5648" width="10.25" style="3" customWidth="1"/>
    <col min="5649" max="5649" width="6.625" style="3" customWidth="1"/>
    <col min="5650" max="5650" width="9.625" style="3" customWidth="1"/>
    <col min="5651" max="5652" width="6.625" style="3" customWidth="1"/>
    <col min="5653" max="5653" width="7.125" style="3" customWidth="1"/>
    <col min="5654" max="5654" width="11.625" style="3" customWidth="1"/>
    <col min="5655" max="5655" width="9.625" style="3" customWidth="1"/>
    <col min="5656" max="5656" width="0" style="3" hidden="1" customWidth="1"/>
    <col min="5657" max="5658" width="3.625" style="3" customWidth="1"/>
    <col min="5659" max="5659" width="5.625" style="3" customWidth="1"/>
    <col min="5660" max="5660" width="6.625" style="3" customWidth="1"/>
    <col min="5661" max="5888" width="9" style="3"/>
    <col min="5889" max="5889" width="3.625" style="3" customWidth="1"/>
    <col min="5890" max="5891" width="10.125" style="3" customWidth="1"/>
    <col min="5892" max="5892" width="5.625" style="3" customWidth="1"/>
    <col min="5893" max="5893" width="5.25" style="3" customWidth="1"/>
    <col min="5894" max="5894" width="8.125" style="3" customWidth="1"/>
    <col min="5895" max="5895" width="1.625" style="3" customWidth="1"/>
    <col min="5896" max="5896" width="4.625" style="3" customWidth="1"/>
    <col min="5897" max="5897" width="1.625" style="3" customWidth="1"/>
    <col min="5898" max="5898" width="4.625" style="3" customWidth="1"/>
    <col min="5899" max="5899" width="1.625" style="3" customWidth="1"/>
    <col min="5900" max="5900" width="8.625" style="3" customWidth="1"/>
    <col min="5901" max="5903" width="0" style="3" hidden="1" customWidth="1"/>
    <col min="5904" max="5904" width="10.25" style="3" customWidth="1"/>
    <col min="5905" max="5905" width="6.625" style="3" customWidth="1"/>
    <col min="5906" max="5906" width="9.625" style="3" customWidth="1"/>
    <col min="5907" max="5908" width="6.625" style="3" customWidth="1"/>
    <col min="5909" max="5909" width="7.125" style="3" customWidth="1"/>
    <col min="5910" max="5910" width="11.625" style="3" customWidth="1"/>
    <col min="5911" max="5911" width="9.625" style="3" customWidth="1"/>
    <col min="5912" max="5912" width="0" style="3" hidden="1" customWidth="1"/>
    <col min="5913" max="5914" width="3.625" style="3" customWidth="1"/>
    <col min="5915" max="5915" width="5.625" style="3" customWidth="1"/>
    <col min="5916" max="5916" width="6.625" style="3" customWidth="1"/>
    <col min="5917" max="6144" width="9" style="3"/>
    <col min="6145" max="6145" width="3.625" style="3" customWidth="1"/>
    <col min="6146" max="6147" width="10.125" style="3" customWidth="1"/>
    <col min="6148" max="6148" width="5.625" style="3" customWidth="1"/>
    <col min="6149" max="6149" width="5.25" style="3" customWidth="1"/>
    <col min="6150" max="6150" width="8.125" style="3" customWidth="1"/>
    <col min="6151" max="6151" width="1.625" style="3" customWidth="1"/>
    <col min="6152" max="6152" width="4.625" style="3" customWidth="1"/>
    <col min="6153" max="6153" width="1.625" style="3" customWidth="1"/>
    <col min="6154" max="6154" width="4.625" style="3" customWidth="1"/>
    <col min="6155" max="6155" width="1.625" style="3" customWidth="1"/>
    <col min="6156" max="6156" width="8.625" style="3" customWidth="1"/>
    <col min="6157" max="6159" width="0" style="3" hidden="1" customWidth="1"/>
    <col min="6160" max="6160" width="10.25" style="3" customWidth="1"/>
    <col min="6161" max="6161" width="6.625" style="3" customWidth="1"/>
    <col min="6162" max="6162" width="9.625" style="3" customWidth="1"/>
    <col min="6163" max="6164" width="6.625" style="3" customWidth="1"/>
    <col min="6165" max="6165" width="7.125" style="3" customWidth="1"/>
    <col min="6166" max="6166" width="11.625" style="3" customWidth="1"/>
    <col min="6167" max="6167" width="9.625" style="3" customWidth="1"/>
    <col min="6168" max="6168" width="0" style="3" hidden="1" customWidth="1"/>
    <col min="6169" max="6170" width="3.625" style="3" customWidth="1"/>
    <col min="6171" max="6171" width="5.625" style="3" customWidth="1"/>
    <col min="6172" max="6172" width="6.625" style="3" customWidth="1"/>
    <col min="6173" max="6400" width="9" style="3"/>
    <col min="6401" max="6401" width="3.625" style="3" customWidth="1"/>
    <col min="6402" max="6403" width="10.125" style="3" customWidth="1"/>
    <col min="6404" max="6404" width="5.625" style="3" customWidth="1"/>
    <col min="6405" max="6405" width="5.25" style="3" customWidth="1"/>
    <col min="6406" max="6406" width="8.125" style="3" customWidth="1"/>
    <col min="6407" max="6407" width="1.625" style="3" customWidth="1"/>
    <col min="6408" max="6408" width="4.625" style="3" customWidth="1"/>
    <col min="6409" max="6409" width="1.625" style="3" customWidth="1"/>
    <col min="6410" max="6410" width="4.625" style="3" customWidth="1"/>
    <col min="6411" max="6411" width="1.625" style="3" customWidth="1"/>
    <col min="6412" max="6412" width="8.625" style="3" customWidth="1"/>
    <col min="6413" max="6415" width="0" style="3" hidden="1" customWidth="1"/>
    <col min="6416" max="6416" width="10.25" style="3" customWidth="1"/>
    <col min="6417" max="6417" width="6.625" style="3" customWidth="1"/>
    <col min="6418" max="6418" width="9.625" style="3" customWidth="1"/>
    <col min="6419" max="6420" width="6.625" style="3" customWidth="1"/>
    <col min="6421" max="6421" width="7.125" style="3" customWidth="1"/>
    <col min="6422" max="6422" width="11.625" style="3" customWidth="1"/>
    <col min="6423" max="6423" width="9.625" style="3" customWidth="1"/>
    <col min="6424" max="6424" width="0" style="3" hidden="1" customWidth="1"/>
    <col min="6425" max="6426" width="3.625" style="3" customWidth="1"/>
    <col min="6427" max="6427" width="5.625" style="3" customWidth="1"/>
    <col min="6428" max="6428" width="6.625" style="3" customWidth="1"/>
    <col min="6429" max="6656" width="9" style="3"/>
    <col min="6657" max="6657" width="3.625" style="3" customWidth="1"/>
    <col min="6658" max="6659" width="10.125" style="3" customWidth="1"/>
    <col min="6660" max="6660" width="5.625" style="3" customWidth="1"/>
    <col min="6661" max="6661" width="5.25" style="3" customWidth="1"/>
    <col min="6662" max="6662" width="8.125" style="3" customWidth="1"/>
    <col min="6663" max="6663" width="1.625" style="3" customWidth="1"/>
    <col min="6664" max="6664" width="4.625" style="3" customWidth="1"/>
    <col min="6665" max="6665" width="1.625" style="3" customWidth="1"/>
    <col min="6666" max="6666" width="4.625" style="3" customWidth="1"/>
    <col min="6667" max="6667" width="1.625" style="3" customWidth="1"/>
    <col min="6668" max="6668" width="8.625" style="3" customWidth="1"/>
    <col min="6669" max="6671" width="0" style="3" hidden="1" customWidth="1"/>
    <col min="6672" max="6672" width="10.25" style="3" customWidth="1"/>
    <col min="6673" max="6673" width="6.625" style="3" customWidth="1"/>
    <col min="6674" max="6674" width="9.625" style="3" customWidth="1"/>
    <col min="6675" max="6676" width="6.625" style="3" customWidth="1"/>
    <col min="6677" max="6677" width="7.125" style="3" customWidth="1"/>
    <col min="6678" max="6678" width="11.625" style="3" customWidth="1"/>
    <col min="6679" max="6679" width="9.625" style="3" customWidth="1"/>
    <col min="6680" max="6680" width="0" style="3" hidden="1" customWidth="1"/>
    <col min="6681" max="6682" width="3.625" style="3" customWidth="1"/>
    <col min="6683" max="6683" width="5.625" style="3" customWidth="1"/>
    <col min="6684" max="6684" width="6.625" style="3" customWidth="1"/>
    <col min="6685" max="6912" width="9" style="3"/>
    <col min="6913" max="6913" width="3.625" style="3" customWidth="1"/>
    <col min="6914" max="6915" width="10.125" style="3" customWidth="1"/>
    <col min="6916" max="6916" width="5.625" style="3" customWidth="1"/>
    <col min="6917" max="6917" width="5.25" style="3" customWidth="1"/>
    <col min="6918" max="6918" width="8.125" style="3" customWidth="1"/>
    <col min="6919" max="6919" width="1.625" style="3" customWidth="1"/>
    <col min="6920" max="6920" width="4.625" style="3" customWidth="1"/>
    <col min="6921" max="6921" width="1.625" style="3" customWidth="1"/>
    <col min="6922" max="6922" width="4.625" style="3" customWidth="1"/>
    <col min="6923" max="6923" width="1.625" style="3" customWidth="1"/>
    <col min="6924" max="6924" width="8.625" style="3" customWidth="1"/>
    <col min="6925" max="6927" width="0" style="3" hidden="1" customWidth="1"/>
    <col min="6928" max="6928" width="10.25" style="3" customWidth="1"/>
    <col min="6929" max="6929" width="6.625" style="3" customWidth="1"/>
    <col min="6930" max="6930" width="9.625" style="3" customWidth="1"/>
    <col min="6931" max="6932" width="6.625" style="3" customWidth="1"/>
    <col min="6933" max="6933" width="7.125" style="3" customWidth="1"/>
    <col min="6934" max="6934" width="11.625" style="3" customWidth="1"/>
    <col min="6935" max="6935" width="9.625" style="3" customWidth="1"/>
    <col min="6936" max="6936" width="0" style="3" hidden="1" customWidth="1"/>
    <col min="6937" max="6938" width="3.625" style="3" customWidth="1"/>
    <col min="6939" max="6939" width="5.625" style="3" customWidth="1"/>
    <col min="6940" max="6940" width="6.625" style="3" customWidth="1"/>
    <col min="6941" max="7168" width="9" style="3"/>
    <col min="7169" max="7169" width="3.625" style="3" customWidth="1"/>
    <col min="7170" max="7171" width="10.125" style="3" customWidth="1"/>
    <col min="7172" max="7172" width="5.625" style="3" customWidth="1"/>
    <col min="7173" max="7173" width="5.25" style="3" customWidth="1"/>
    <col min="7174" max="7174" width="8.125" style="3" customWidth="1"/>
    <col min="7175" max="7175" width="1.625" style="3" customWidth="1"/>
    <col min="7176" max="7176" width="4.625" style="3" customWidth="1"/>
    <col min="7177" max="7177" width="1.625" style="3" customWidth="1"/>
    <col min="7178" max="7178" width="4.625" style="3" customWidth="1"/>
    <col min="7179" max="7179" width="1.625" style="3" customWidth="1"/>
    <col min="7180" max="7180" width="8.625" style="3" customWidth="1"/>
    <col min="7181" max="7183" width="0" style="3" hidden="1" customWidth="1"/>
    <col min="7184" max="7184" width="10.25" style="3" customWidth="1"/>
    <col min="7185" max="7185" width="6.625" style="3" customWidth="1"/>
    <col min="7186" max="7186" width="9.625" style="3" customWidth="1"/>
    <col min="7187" max="7188" width="6.625" style="3" customWidth="1"/>
    <col min="7189" max="7189" width="7.125" style="3" customWidth="1"/>
    <col min="7190" max="7190" width="11.625" style="3" customWidth="1"/>
    <col min="7191" max="7191" width="9.625" style="3" customWidth="1"/>
    <col min="7192" max="7192" width="0" style="3" hidden="1" customWidth="1"/>
    <col min="7193" max="7194" width="3.625" style="3" customWidth="1"/>
    <col min="7195" max="7195" width="5.625" style="3" customWidth="1"/>
    <col min="7196" max="7196" width="6.625" style="3" customWidth="1"/>
    <col min="7197" max="7424" width="9" style="3"/>
    <col min="7425" max="7425" width="3.625" style="3" customWidth="1"/>
    <col min="7426" max="7427" width="10.125" style="3" customWidth="1"/>
    <col min="7428" max="7428" width="5.625" style="3" customWidth="1"/>
    <col min="7429" max="7429" width="5.25" style="3" customWidth="1"/>
    <col min="7430" max="7430" width="8.125" style="3" customWidth="1"/>
    <col min="7431" max="7431" width="1.625" style="3" customWidth="1"/>
    <col min="7432" max="7432" width="4.625" style="3" customWidth="1"/>
    <col min="7433" max="7433" width="1.625" style="3" customWidth="1"/>
    <col min="7434" max="7434" width="4.625" style="3" customWidth="1"/>
    <col min="7435" max="7435" width="1.625" style="3" customWidth="1"/>
    <col min="7436" max="7436" width="8.625" style="3" customWidth="1"/>
    <col min="7437" max="7439" width="0" style="3" hidden="1" customWidth="1"/>
    <col min="7440" max="7440" width="10.25" style="3" customWidth="1"/>
    <col min="7441" max="7441" width="6.625" style="3" customWidth="1"/>
    <col min="7442" max="7442" width="9.625" style="3" customWidth="1"/>
    <col min="7443" max="7444" width="6.625" style="3" customWidth="1"/>
    <col min="7445" max="7445" width="7.125" style="3" customWidth="1"/>
    <col min="7446" max="7446" width="11.625" style="3" customWidth="1"/>
    <col min="7447" max="7447" width="9.625" style="3" customWidth="1"/>
    <col min="7448" max="7448" width="0" style="3" hidden="1" customWidth="1"/>
    <col min="7449" max="7450" width="3.625" style="3" customWidth="1"/>
    <col min="7451" max="7451" width="5.625" style="3" customWidth="1"/>
    <col min="7452" max="7452" width="6.625" style="3" customWidth="1"/>
    <col min="7453" max="7680" width="9" style="3"/>
    <col min="7681" max="7681" width="3.625" style="3" customWidth="1"/>
    <col min="7682" max="7683" width="10.125" style="3" customWidth="1"/>
    <col min="7684" max="7684" width="5.625" style="3" customWidth="1"/>
    <col min="7685" max="7685" width="5.25" style="3" customWidth="1"/>
    <col min="7686" max="7686" width="8.125" style="3" customWidth="1"/>
    <col min="7687" max="7687" width="1.625" style="3" customWidth="1"/>
    <col min="7688" max="7688" width="4.625" style="3" customWidth="1"/>
    <col min="7689" max="7689" width="1.625" style="3" customWidth="1"/>
    <col min="7690" max="7690" width="4.625" style="3" customWidth="1"/>
    <col min="7691" max="7691" width="1.625" style="3" customWidth="1"/>
    <col min="7692" max="7692" width="8.625" style="3" customWidth="1"/>
    <col min="7693" max="7695" width="0" style="3" hidden="1" customWidth="1"/>
    <col min="7696" max="7696" width="10.25" style="3" customWidth="1"/>
    <col min="7697" max="7697" width="6.625" style="3" customWidth="1"/>
    <col min="7698" max="7698" width="9.625" style="3" customWidth="1"/>
    <col min="7699" max="7700" width="6.625" style="3" customWidth="1"/>
    <col min="7701" max="7701" width="7.125" style="3" customWidth="1"/>
    <col min="7702" max="7702" width="11.625" style="3" customWidth="1"/>
    <col min="7703" max="7703" width="9.625" style="3" customWidth="1"/>
    <col min="7704" max="7704" width="0" style="3" hidden="1" customWidth="1"/>
    <col min="7705" max="7706" width="3.625" style="3" customWidth="1"/>
    <col min="7707" max="7707" width="5.625" style="3" customWidth="1"/>
    <col min="7708" max="7708" width="6.625" style="3" customWidth="1"/>
    <col min="7709" max="7936" width="9" style="3"/>
    <col min="7937" max="7937" width="3.625" style="3" customWidth="1"/>
    <col min="7938" max="7939" width="10.125" style="3" customWidth="1"/>
    <col min="7940" max="7940" width="5.625" style="3" customWidth="1"/>
    <col min="7941" max="7941" width="5.25" style="3" customWidth="1"/>
    <col min="7942" max="7942" width="8.125" style="3" customWidth="1"/>
    <col min="7943" max="7943" width="1.625" style="3" customWidth="1"/>
    <col min="7944" max="7944" width="4.625" style="3" customWidth="1"/>
    <col min="7945" max="7945" width="1.625" style="3" customWidth="1"/>
    <col min="7946" max="7946" width="4.625" style="3" customWidth="1"/>
    <col min="7947" max="7947" width="1.625" style="3" customWidth="1"/>
    <col min="7948" max="7948" width="8.625" style="3" customWidth="1"/>
    <col min="7949" max="7951" width="0" style="3" hidden="1" customWidth="1"/>
    <col min="7952" max="7952" width="10.25" style="3" customWidth="1"/>
    <col min="7953" max="7953" width="6.625" style="3" customWidth="1"/>
    <col min="7954" max="7954" width="9.625" style="3" customWidth="1"/>
    <col min="7955" max="7956" width="6.625" style="3" customWidth="1"/>
    <col min="7957" max="7957" width="7.125" style="3" customWidth="1"/>
    <col min="7958" max="7958" width="11.625" style="3" customWidth="1"/>
    <col min="7959" max="7959" width="9.625" style="3" customWidth="1"/>
    <col min="7960" max="7960" width="0" style="3" hidden="1" customWidth="1"/>
    <col min="7961" max="7962" width="3.625" style="3" customWidth="1"/>
    <col min="7963" max="7963" width="5.625" style="3" customWidth="1"/>
    <col min="7964" max="7964" width="6.625" style="3" customWidth="1"/>
    <col min="7965" max="8192" width="9" style="3"/>
    <col min="8193" max="8193" width="3.625" style="3" customWidth="1"/>
    <col min="8194" max="8195" width="10.125" style="3" customWidth="1"/>
    <col min="8196" max="8196" width="5.625" style="3" customWidth="1"/>
    <col min="8197" max="8197" width="5.25" style="3" customWidth="1"/>
    <col min="8198" max="8198" width="8.125" style="3" customWidth="1"/>
    <col min="8199" max="8199" width="1.625" style="3" customWidth="1"/>
    <col min="8200" max="8200" width="4.625" style="3" customWidth="1"/>
    <col min="8201" max="8201" width="1.625" style="3" customWidth="1"/>
    <col min="8202" max="8202" width="4.625" style="3" customWidth="1"/>
    <col min="8203" max="8203" width="1.625" style="3" customWidth="1"/>
    <col min="8204" max="8204" width="8.625" style="3" customWidth="1"/>
    <col min="8205" max="8207" width="0" style="3" hidden="1" customWidth="1"/>
    <col min="8208" max="8208" width="10.25" style="3" customWidth="1"/>
    <col min="8209" max="8209" width="6.625" style="3" customWidth="1"/>
    <col min="8210" max="8210" width="9.625" style="3" customWidth="1"/>
    <col min="8211" max="8212" width="6.625" style="3" customWidth="1"/>
    <col min="8213" max="8213" width="7.125" style="3" customWidth="1"/>
    <col min="8214" max="8214" width="11.625" style="3" customWidth="1"/>
    <col min="8215" max="8215" width="9.625" style="3" customWidth="1"/>
    <col min="8216" max="8216" width="0" style="3" hidden="1" customWidth="1"/>
    <col min="8217" max="8218" width="3.625" style="3" customWidth="1"/>
    <col min="8219" max="8219" width="5.625" style="3" customWidth="1"/>
    <col min="8220" max="8220" width="6.625" style="3" customWidth="1"/>
    <col min="8221" max="8448" width="9" style="3"/>
    <col min="8449" max="8449" width="3.625" style="3" customWidth="1"/>
    <col min="8450" max="8451" width="10.125" style="3" customWidth="1"/>
    <col min="8452" max="8452" width="5.625" style="3" customWidth="1"/>
    <col min="8453" max="8453" width="5.25" style="3" customWidth="1"/>
    <col min="8454" max="8454" width="8.125" style="3" customWidth="1"/>
    <col min="8455" max="8455" width="1.625" style="3" customWidth="1"/>
    <col min="8456" max="8456" width="4.625" style="3" customWidth="1"/>
    <col min="8457" max="8457" width="1.625" style="3" customWidth="1"/>
    <col min="8458" max="8458" width="4.625" style="3" customWidth="1"/>
    <col min="8459" max="8459" width="1.625" style="3" customWidth="1"/>
    <col min="8460" max="8460" width="8.625" style="3" customWidth="1"/>
    <col min="8461" max="8463" width="0" style="3" hidden="1" customWidth="1"/>
    <col min="8464" max="8464" width="10.25" style="3" customWidth="1"/>
    <col min="8465" max="8465" width="6.625" style="3" customWidth="1"/>
    <col min="8466" max="8466" width="9.625" style="3" customWidth="1"/>
    <col min="8467" max="8468" width="6.625" style="3" customWidth="1"/>
    <col min="8469" max="8469" width="7.125" style="3" customWidth="1"/>
    <col min="8470" max="8470" width="11.625" style="3" customWidth="1"/>
    <col min="8471" max="8471" width="9.625" style="3" customWidth="1"/>
    <col min="8472" max="8472" width="0" style="3" hidden="1" customWidth="1"/>
    <col min="8473" max="8474" width="3.625" style="3" customWidth="1"/>
    <col min="8475" max="8475" width="5.625" style="3" customWidth="1"/>
    <col min="8476" max="8476" width="6.625" style="3" customWidth="1"/>
    <col min="8477" max="8704" width="9" style="3"/>
    <col min="8705" max="8705" width="3.625" style="3" customWidth="1"/>
    <col min="8706" max="8707" width="10.125" style="3" customWidth="1"/>
    <col min="8708" max="8708" width="5.625" style="3" customWidth="1"/>
    <col min="8709" max="8709" width="5.25" style="3" customWidth="1"/>
    <col min="8710" max="8710" width="8.125" style="3" customWidth="1"/>
    <col min="8711" max="8711" width="1.625" style="3" customWidth="1"/>
    <col min="8712" max="8712" width="4.625" style="3" customWidth="1"/>
    <col min="8713" max="8713" width="1.625" style="3" customWidth="1"/>
    <col min="8714" max="8714" width="4.625" style="3" customWidth="1"/>
    <col min="8715" max="8715" width="1.625" style="3" customWidth="1"/>
    <col min="8716" max="8716" width="8.625" style="3" customWidth="1"/>
    <col min="8717" max="8719" width="0" style="3" hidden="1" customWidth="1"/>
    <col min="8720" max="8720" width="10.25" style="3" customWidth="1"/>
    <col min="8721" max="8721" width="6.625" style="3" customWidth="1"/>
    <col min="8722" max="8722" width="9.625" style="3" customWidth="1"/>
    <col min="8723" max="8724" width="6.625" style="3" customWidth="1"/>
    <col min="8725" max="8725" width="7.125" style="3" customWidth="1"/>
    <col min="8726" max="8726" width="11.625" style="3" customWidth="1"/>
    <col min="8727" max="8727" width="9.625" style="3" customWidth="1"/>
    <col min="8728" max="8728" width="0" style="3" hidden="1" customWidth="1"/>
    <col min="8729" max="8730" width="3.625" style="3" customWidth="1"/>
    <col min="8731" max="8731" width="5.625" style="3" customWidth="1"/>
    <col min="8732" max="8732" width="6.625" style="3" customWidth="1"/>
    <col min="8733" max="8960" width="9" style="3"/>
    <col min="8961" max="8961" width="3.625" style="3" customWidth="1"/>
    <col min="8962" max="8963" width="10.125" style="3" customWidth="1"/>
    <col min="8964" max="8964" width="5.625" style="3" customWidth="1"/>
    <col min="8965" max="8965" width="5.25" style="3" customWidth="1"/>
    <col min="8966" max="8966" width="8.125" style="3" customWidth="1"/>
    <col min="8967" max="8967" width="1.625" style="3" customWidth="1"/>
    <col min="8968" max="8968" width="4.625" style="3" customWidth="1"/>
    <col min="8969" max="8969" width="1.625" style="3" customWidth="1"/>
    <col min="8970" max="8970" width="4.625" style="3" customWidth="1"/>
    <col min="8971" max="8971" width="1.625" style="3" customWidth="1"/>
    <col min="8972" max="8972" width="8.625" style="3" customWidth="1"/>
    <col min="8973" max="8975" width="0" style="3" hidden="1" customWidth="1"/>
    <col min="8976" max="8976" width="10.25" style="3" customWidth="1"/>
    <col min="8977" max="8977" width="6.625" style="3" customWidth="1"/>
    <col min="8978" max="8978" width="9.625" style="3" customWidth="1"/>
    <col min="8979" max="8980" width="6.625" style="3" customWidth="1"/>
    <col min="8981" max="8981" width="7.125" style="3" customWidth="1"/>
    <col min="8982" max="8982" width="11.625" style="3" customWidth="1"/>
    <col min="8983" max="8983" width="9.625" style="3" customWidth="1"/>
    <col min="8984" max="8984" width="0" style="3" hidden="1" customWidth="1"/>
    <col min="8985" max="8986" width="3.625" style="3" customWidth="1"/>
    <col min="8987" max="8987" width="5.625" style="3" customWidth="1"/>
    <col min="8988" max="8988" width="6.625" style="3" customWidth="1"/>
    <col min="8989" max="9216" width="9" style="3"/>
    <col min="9217" max="9217" width="3.625" style="3" customWidth="1"/>
    <col min="9218" max="9219" width="10.125" style="3" customWidth="1"/>
    <col min="9220" max="9220" width="5.625" style="3" customWidth="1"/>
    <col min="9221" max="9221" width="5.25" style="3" customWidth="1"/>
    <col min="9222" max="9222" width="8.125" style="3" customWidth="1"/>
    <col min="9223" max="9223" width="1.625" style="3" customWidth="1"/>
    <col min="9224" max="9224" width="4.625" style="3" customWidth="1"/>
    <col min="9225" max="9225" width="1.625" style="3" customWidth="1"/>
    <col min="9226" max="9226" width="4.625" style="3" customWidth="1"/>
    <col min="9227" max="9227" width="1.625" style="3" customWidth="1"/>
    <col min="9228" max="9228" width="8.625" style="3" customWidth="1"/>
    <col min="9229" max="9231" width="0" style="3" hidden="1" customWidth="1"/>
    <col min="9232" max="9232" width="10.25" style="3" customWidth="1"/>
    <col min="9233" max="9233" width="6.625" style="3" customWidth="1"/>
    <col min="9234" max="9234" width="9.625" style="3" customWidth="1"/>
    <col min="9235" max="9236" width="6.625" style="3" customWidth="1"/>
    <col min="9237" max="9237" width="7.125" style="3" customWidth="1"/>
    <col min="9238" max="9238" width="11.625" style="3" customWidth="1"/>
    <col min="9239" max="9239" width="9.625" style="3" customWidth="1"/>
    <col min="9240" max="9240" width="0" style="3" hidden="1" customWidth="1"/>
    <col min="9241" max="9242" width="3.625" style="3" customWidth="1"/>
    <col min="9243" max="9243" width="5.625" style="3" customWidth="1"/>
    <col min="9244" max="9244" width="6.625" style="3" customWidth="1"/>
    <col min="9245" max="9472" width="9" style="3"/>
    <col min="9473" max="9473" width="3.625" style="3" customWidth="1"/>
    <col min="9474" max="9475" width="10.125" style="3" customWidth="1"/>
    <col min="9476" max="9476" width="5.625" style="3" customWidth="1"/>
    <col min="9477" max="9477" width="5.25" style="3" customWidth="1"/>
    <col min="9478" max="9478" width="8.125" style="3" customWidth="1"/>
    <col min="9479" max="9479" width="1.625" style="3" customWidth="1"/>
    <col min="9480" max="9480" width="4.625" style="3" customWidth="1"/>
    <col min="9481" max="9481" width="1.625" style="3" customWidth="1"/>
    <col min="9482" max="9482" width="4.625" style="3" customWidth="1"/>
    <col min="9483" max="9483" width="1.625" style="3" customWidth="1"/>
    <col min="9484" max="9484" width="8.625" style="3" customWidth="1"/>
    <col min="9485" max="9487" width="0" style="3" hidden="1" customWidth="1"/>
    <col min="9488" max="9488" width="10.25" style="3" customWidth="1"/>
    <col min="9489" max="9489" width="6.625" style="3" customWidth="1"/>
    <col min="9490" max="9490" width="9.625" style="3" customWidth="1"/>
    <col min="9491" max="9492" width="6.625" style="3" customWidth="1"/>
    <col min="9493" max="9493" width="7.125" style="3" customWidth="1"/>
    <col min="9494" max="9494" width="11.625" style="3" customWidth="1"/>
    <col min="9495" max="9495" width="9.625" style="3" customWidth="1"/>
    <col min="9496" max="9496" width="0" style="3" hidden="1" customWidth="1"/>
    <col min="9497" max="9498" width="3.625" style="3" customWidth="1"/>
    <col min="9499" max="9499" width="5.625" style="3" customWidth="1"/>
    <col min="9500" max="9500" width="6.625" style="3" customWidth="1"/>
    <col min="9501" max="9728" width="9" style="3"/>
    <col min="9729" max="9729" width="3.625" style="3" customWidth="1"/>
    <col min="9730" max="9731" width="10.125" style="3" customWidth="1"/>
    <col min="9732" max="9732" width="5.625" style="3" customWidth="1"/>
    <col min="9733" max="9733" width="5.25" style="3" customWidth="1"/>
    <col min="9734" max="9734" width="8.125" style="3" customWidth="1"/>
    <col min="9735" max="9735" width="1.625" style="3" customWidth="1"/>
    <col min="9736" max="9736" width="4.625" style="3" customWidth="1"/>
    <col min="9737" max="9737" width="1.625" style="3" customWidth="1"/>
    <col min="9738" max="9738" width="4.625" style="3" customWidth="1"/>
    <col min="9739" max="9739" width="1.625" style="3" customWidth="1"/>
    <col min="9740" max="9740" width="8.625" style="3" customWidth="1"/>
    <col min="9741" max="9743" width="0" style="3" hidden="1" customWidth="1"/>
    <col min="9744" max="9744" width="10.25" style="3" customWidth="1"/>
    <col min="9745" max="9745" width="6.625" style="3" customWidth="1"/>
    <col min="9746" max="9746" width="9.625" style="3" customWidth="1"/>
    <col min="9747" max="9748" width="6.625" style="3" customWidth="1"/>
    <col min="9749" max="9749" width="7.125" style="3" customWidth="1"/>
    <col min="9750" max="9750" width="11.625" style="3" customWidth="1"/>
    <col min="9751" max="9751" width="9.625" style="3" customWidth="1"/>
    <col min="9752" max="9752" width="0" style="3" hidden="1" customWidth="1"/>
    <col min="9753" max="9754" width="3.625" style="3" customWidth="1"/>
    <col min="9755" max="9755" width="5.625" style="3" customWidth="1"/>
    <col min="9756" max="9756" width="6.625" style="3" customWidth="1"/>
    <col min="9757" max="9984" width="9" style="3"/>
    <col min="9985" max="9985" width="3.625" style="3" customWidth="1"/>
    <col min="9986" max="9987" width="10.125" style="3" customWidth="1"/>
    <col min="9988" max="9988" width="5.625" style="3" customWidth="1"/>
    <col min="9989" max="9989" width="5.25" style="3" customWidth="1"/>
    <col min="9990" max="9990" width="8.125" style="3" customWidth="1"/>
    <col min="9991" max="9991" width="1.625" style="3" customWidth="1"/>
    <col min="9992" max="9992" width="4.625" style="3" customWidth="1"/>
    <col min="9993" max="9993" width="1.625" style="3" customWidth="1"/>
    <col min="9994" max="9994" width="4.625" style="3" customWidth="1"/>
    <col min="9995" max="9995" width="1.625" style="3" customWidth="1"/>
    <col min="9996" max="9996" width="8.625" style="3" customWidth="1"/>
    <col min="9997" max="9999" width="0" style="3" hidden="1" customWidth="1"/>
    <col min="10000" max="10000" width="10.25" style="3" customWidth="1"/>
    <col min="10001" max="10001" width="6.625" style="3" customWidth="1"/>
    <col min="10002" max="10002" width="9.625" style="3" customWidth="1"/>
    <col min="10003" max="10004" width="6.625" style="3" customWidth="1"/>
    <col min="10005" max="10005" width="7.125" style="3" customWidth="1"/>
    <col min="10006" max="10006" width="11.625" style="3" customWidth="1"/>
    <col min="10007" max="10007" width="9.625" style="3" customWidth="1"/>
    <col min="10008" max="10008" width="0" style="3" hidden="1" customWidth="1"/>
    <col min="10009" max="10010" width="3.625" style="3" customWidth="1"/>
    <col min="10011" max="10011" width="5.625" style="3" customWidth="1"/>
    <col min="10012" max="10012" width="6.625" style="3" customWidth="1"/>
    <col min="10013" max="10240" width="9" style="3"/>
    <col min="10241" max="10241" width="3.625" style="3" customWidth="1"/>
    <col min="10242" max="10243" width="10.125" style="3" customWidth="1"/>
    <col min="10244" max="10244" width="5.625" style="3" customWidth="1"/>
    <col min="10245" max="10245" width="5.25" style="3" customWidth="1"/>
    <col min="10246" max="10246" width="8.125" style="3" customWidth="1"/>
    <col min="10247" max="10247" width="1.625" style="3" customWidth="1"/>
    <col min="10248" max="10248" width="4.625" style="3" customWidth="1"/>
    <col min="10249" max="10249" width="1.625" style="3" customWidth="1"/>
    <col min="10250" max="10250" width="4.625" style="3" customWidth="1"/>
    <col min="10251" max="10251" width="1.625" style="3" customWidth="1"/>
    <col min="10252" max="10252" width="8.625" style="3" customWidth="1"/>
    <col min="10253" max="10255" width="0" style="3" hidden="1" customWidth="1"/>
    <col min="10256" max="10256" width="10.25" style="3" customWidth="1"/>
    <col min="10257" max="10257" width="6.625" style="3" customWidth="1"/>
    <col min="10258" max="10258" width="9.625" style="3" customWidth="1"/>
    <col min="10259" max="10260" width="6.625" style="3" customWidth="1"/>
    <col min="10261" max="10261" width="7.125" style="3" customWidth="1"/>
    <col min="10262" max="10262" width="11.625" style="3" customWidth="1"/>
    <col min="10263" max="10263" width="9.625" style="3" customWidth="1"/>
    <col min="10264" max="10264" width="0" style="3" hidden="1" customWidth="1"/>
    <col min="10265" max="10266" width="3.625" style="3" customWidth="1"/>
    <col min="10267" max="10267" width="5.625" style="3" customWidth="1"/>
    <col min="10268" max="10268" width="6.625" style="3" customWidth="1"/>
    <col min="10269" max="10496" width="9" style="3"/>
    <col min="10497" max="10497" width="3.625" style="3" customWidth="1"/>
    <col min="10498" max="10499" width="10.125" style="3" customWidth="1"/>
    <col min="10500" max="10500" width="5.625" style="3" customWidth="1"/>
    <col min="10501" max="10501" width="5.25" style="3" customWidth="1"/>
    <col min="10502" max="10502" width="8.125" style="3" customWidth="1"/>
    <col min="10503" max="10503" width="1.625" style="3" customWidth="1"/>
    <col min="10504" max="10504" width="4.625" style="3" customWidth="1"/>
    <col min="10505" max="10505" width="1.625" style="3" customWidth="1"/>
    <col min="10506" max="10506" width="4.625" style="3" customWidth="1"/>
    <col min="10507" max="10507" width="1.625" style="3" customWidth="1"/>
    <col min="10508" max="10508" width="8.625" style="3" customWidth="1"/>
    <col min="10509" max="10511" width="0" style="3" hidden="1" customWidth="1"/>
    <col min="10512" max="10512" width="10.25" style="3" customWidth="1"/>
    <col min="10513" max="10513" width="6.625" style="3" customWidth="1"/>
    <col min="10514" max="10514" width="9.625" style="3" customWidth="1"/>
    <col min="10515" max="10516" width="6.625" style="3" customWidth="1"/>
    <col min="10517" max="10517" width="7.125" style="3" customWidth="1"/>
    <col min="10518" max="10518" width="11.625" style="3" customWidth="1"/>
    <col min="10519" max="10519" width="9.625" style="3" customWidth="1"/>
    <col min="10520" max="10520" width="0" style="3" hidden="1" customWidth="1"/>
    <col min="10521" max="10522" width="3.625" style="3" customWidth="1"/>
    <col min="10523" max="10523" width="5.625" style="3" customWidth="1"/>
    <col min="10524" max="10524" width="6.625" style="3" customWidth="1"/>
    <col min="10525" max="10752" width="9" style="3"/>
    <col min="10753" max="10753" width="3.625" style="3" customWidth="1"/>
    <col min="10754" max="10755" width="10.125" style="3" customWidth="1"/>
    <col min="10756" max="10756" width="5.625" style="3" customWidth="1"/>
    <col min="10757" max="10757" width="5.25" style="3" customWidth="1"/>
    <col min="10758" max="10758" width="8.125" style="3" customWidth="1"/>
    <col min="10759" max="10759" width="1.625" style="3" customWidth="1"/>
    <col min="10760" max="10760" width="4.625" style="3" customWidth="1"/>
    <col min="10761" max="10761" width="1.625" style="3" customWidth="1"/>
    <col min="10762" max="10762" width="4.625" style="3" customWidth="1"/>
    <col min="10763" max="10763" width="1.625" style="3" customWidth="1"/>
    <col min="10764" max="10764" width="8.625" style="3" customWidth="1"/>
    <col min="10765" max="10767" width="0" style="3" hidden="1" customWidth="1"/>
    <col min="10768" max="10768" width="10.25" style="3" customWidth="1"/>
    <col min="10769" max="10769" width="6.625" style="3" customWidth="1"/>
    <col min="10770" max="10770" width="9.625" style="3" customWidth="1"/>
    <col min="10771" max="10772" width="6.625" style="3" customWidth="1"/>
    <col min="10773" max="10773" width="7.125" style="3" customWidth="1"/>
    <col min="10774" max="10774" width="11.625" style="3" customWidth="1"/>
    <col min="10775" max="10775" width="9.625" style="3" customWidth="1"/>
    <col min="10776" max="10776" width="0" style="3" hidden="1" customWidth="1"/>
    <col min="10777" max="10778" width="3.625" style="3" customWidth="1"/>
    <col min="10779" max="10779" width="5.625" style="3" customWidth="1"/>
    <col min="10780" max="10780" width="6.625" style="3" customWidth="1"/>
    <col min="10781" max="11008" width="9" style="3"/>
    <col min="11009" max="11009" width="3.625" style="3" customWidth="1"/>
    <col min="11010" max="11011" width="10.125" style="3" customWidth="1"/>
    <col min="11012" max="11012" width="5.625" style="3" customWidth="1"/>
    <col min="11013" max="11013" width="5.25" style="3" customWidth="1"/>
    <col min="11014" max="11014" width="8.125" style="3" customWidth="1"/>
    <col min="11015" max="11015" width="1.625" style="3" customWidth="1"/>
    <col min="11016" max="11016" width="4.625" style="3" customWidth="1"/>
    <col min="11017" max="11017" width="1.625" style="3" customWidth="1"/>
    <col min="11018" max="11018" width="4.625" style="3" customWidth="1"/>
    <col min="11019" max="11019" width="1.625" style="3" customWidth="1"/>
    <col min="11020" max="11020" width="8.625" style="3" customWidth="1"/>
    <col min="11021" max="11023" width="0" style="3" hidden="1" customWidth="1"/>
    <col min="11024" max="11024" width="10.25" style="3" customWidth="1"/>
    <col min="11025" max="11025" width="6.625" style="3" customWidth="1"/>
    <col min="11026" max="11026" width="9.625" style="3" customWidth="1"/>
    <col min="11027" max="11028" width="6.625" style="3" customWidth="1"/>
    <col min="11029" max="11029" width="7.125" style="3" customWidth="1"/>
    <col min="11030" max="11030" width="11.625" style="3" customWidth="1"/>
    <col min="11031" max="11031" width="9.625" style="3" customWidth="1"/>
    <col min="11032" max="11032" width="0" style="3" hidden="1" customWidth="1"/>
    <col min="11033" max="11034" width="3.625" style="3" customWidth="1"/>
    <col min="11035" max="11035" width="5.625" style="3" customWidth="1"/>
    <col min="11036" max="11036" width="6.625" style="3" customWidth="1"/>
    <col min="11037" max="11264" width="9" style="3"/>
    <col min="11265" max="11265" width="3.625" style="3" customWidth="1"/>
    <col min="11266" max="11267" width="10.125" style="3" customWidth="1"/>
    <col min="11268" max="11268" width="5.625" style="3" customWidth="1"/>
    <col min="11269" max="11269" width="5.25" style="3" customWidth="1"/>
    <col min="11270" max="11270" width="8.125" style="3" customWidth="1"/>
    <col min="11271" max="11271" width="1.625" style="3" customWidth="1"/>
    <col min="11272" max="11272" width="4.625" style="3" customWidth="1"/>
    <col min="11273" max="11273" width="1.625" style="3" customWidth="1"/>
    <col min="11274" max="11274" width="4.625" style="3" customWidth="1"/>
    <col min="11275" max="11275" width="1.625" style="3" customWidth="1"/>
    <col min="11276" max="11276" width="8.625" style="3" customWidth="1"/>
    <col min="11277" max="11279" width="0" style="3" hidden="1" customWidth="1"/>
    <col min="11280" max="11280" width="10.25" style="3" customWidth="1"/>
    <col min="11281" max="11281" width="6.625" style="3" customWidth="1"/>
    <col min="11282" max="11282" width="9.625" style="3" customWidth="1"/>
    <col min="11283" max="11284" width="6.625" style="3" customWidth="1"/>
    <col min="11285" max="11285" width="7.125" style="3" customWidth="1"/>
    <col min="11286" max="11286" width="11.625" style="3" customWidth="1"/>
    <col min="11287" max="11287" width="9.625" style="3" customWidth="1"/>
    <col min="11288" max="11288" width="0" style="3" hidden="1" customWidth="1"/>
    <col min="11289" max="11290" width="3.625" style="3" customWidth="1"/>
    <col min="11291" max="11291" width="5.625" style="3" customWidth="1"/>
    <col min="11292" max="11292" width="6.625" style="3" customWidth="1"/>
    <col min="11293" max="11520" width="9" style="3"/>
    <col min="11521" max="11521" width="3.625" style="3" customWidth="1"/>
    <col min="11522" max="11523" width="10.125" style="3" customWidth="1"/>
    <col min="11524" max="11524" width="5.625" style="3" customWidth="1"/>
    <col min="11525" max="11525" width="5.25" style="3" customWidth="1"/>
    <col min="11526" max="11526" width="8.125" style="3" customWidth="1"/>
    <col min="11527" max="11527" width="1.625" style="3" customWidth="1"/>
    <col min="11528" max="11528" width="4.625" style="3" customWidth="1"/>
    <col min="11529" max="11529" width="1.625" style="3" customWidth="1"/>
    <col min="11530" max="11530" width="4.625" style="3" customWidth="1"/>
    <col min="11531" max="11531" width="1.625" style="3" customWidth="1"/>
    <col min="11532" max="11532" width="8.625" style="3" customWidth="1"/>
    <col min="11533" max="11535" width="0" style="3" hidden="1" customWidth="1"/>
    <col min="11536" max="11536" width="10.25" style="3" customWidth="1"/>
    <col min="11537" max="11537" width="6.625" style="3" customWidth="1"/>
    <col min="11538" max="11538" width="9.625" style="3" customWidth="1"/>
    <col min="11539" max="11540" width="6.625" style="3" customWidth="1"/>
    <col min="11541" max="11541" width="7.125" style="3" customWidth="1"/>
    <col min="11542" max="11542" width="11.625" style="3" customWidth="1"/>
    <col min="11543" max="11543" width="9.625" style="3" customWidth="1"/>
    <col min="11544" max="11544" width="0" style="3" hidden="1" customWidth="1"/>
    <col min="11545" max="11546" width="3.625" style="3" customWidth="1"/>
    <col min="11547" max="11547" width="5.625" style="3" customWidth="1"/>
    <col min="11548" max="11548" width="6.625" style="3" customWidth="1"/>
    <col min="11549" max="11776" width="9" style="3"/>
    <col min="11777" max="11777" width="3.625" style="3" customWidth="1"/>
    <col min="11778" max="11779" width="10.125" style="3" customWidth="1"/>
    <col min="11780" max="11780" width="5.625" style="3" customWidth="1"/>
    <col min="11781" max="11781" width="5.25" style="3" customWidth="1"/>
    <col min="11782" max="11782" width="8.125" style="3" customWidth="1"/>
    <col min="11783" max="11783" width="1.625" style="3" customWidth="1"/>
    <col min="11784" max="11784" width="4.625" style="3" customWidth="1"/>
    <col min="11785" max="11785" width="1.625" style="3" customWidth="1"/>
    <col min="11786" max="11786" width="4.625" style="3" customWidth="1"/>
    <col min="11787" max="11787" width="1.625" style="3" customWidth="1"/>
    <col min="11788" max="11788" width="8.625" style="3" customWidth="1"/>
    <col min="11789" max="11791" width="0" style="3" hidden="1" customWidth="1"/>
    <col min="11792" max="11792" width="10.25" style="3" customWidth="1"/>
    <col min="11793" max="11793" width="6.625" style="3" customWidth="1"/>
    <col min="11794" max="11794" width="9.625" style="3" customWidth="1"/>
    <col min="11795" max="11796" width="6.625" style="3" customWidth="1"/>
    <col min="11797" max="11797" width="7.125" style="3" customWidth="1"/>
    <col min="11798" max="11798" width="11.625" style="3" customWidth="1"/>
    <col min="11799" max="11799" width="9.625" style="3" customWidth="1"/>
    <col min="11800" max="11800" width="0" style="3" hidden="1" customWidth="1"/>
    <col min="11801" max="11802" width="3.625" style="3" customWidth="1"/>
    <col min="11803" max="11803" width="5.625" style="3" customWidth="1"/>
    <col min="11804" max="11804" width="6.625" style="3" customWidth="1"/>
    <col min="11805" max="12032" width="9" style="3"/>
    <col min="12033" max="12033" width="3.625" style="3" customWidth="1"/>
    <col min="12034" max="12035" width="10.125" style="3" customWidth="1"/>
    <col min="12036" max="12036" width="5.625" style="3" customWidth="1"/>
    <col min="12037" max="12037" width="5.25" style="3" customWidth="1"/>
    <col min="12038" max="12038" width="8.125" style="3" customWidth="1"/>
    <col min="12039" max="12039" width="1.625" style="3" customWidth="1"/>
    <col min="12040" max="12040" width="4.625" style="3" customWidth="1"/>
    <col min="12041" max="12041" width="1.625" style="3" customWidth="1"/>
    <col min="12042" max="12042" width="4.625" style="3" customWidth="1"/>
    <col min="12043" max="12043" width="1.625" style="3" customWidth="1"/>
    <col min="12044" max="12044" width="8.625" style="3" customWidth="1"/>
    <col min="12045" max="12047" width="0" style="3" hidden="1" customWidth="1"/>
    <col min="12048" max="12048" width="10.25" style="3" customWidth="1"/>
    <col min="12049" max="12049" width="6.625" style="3" customWidth="1"/>
    <col min="12050" max="12050" width="9.625" style="3" customWidth="1"/>
    <col min="12051" max="12052" width="6.625" style="3" customWidth="1"/>
    <col min="12053" max="12053" width="7.125" style="3" customWidth="1"/>
    <col min="12054" max="12054" width="11.625" style="3" customWidth="1"/>
    <col min="12055" max="12055" width="9.625" style="3" customWidth="1"/>
    <col min="12056" max="12056" width="0" style="3" hidden="1" customWidth="1"/>
    <col min="12057" max="12058" width="3.625" style="3" customWidth="1"/>
    <col min="12059" max="12059" width="5.625" style="3" customWidth="1"/>
    <col min="12060" max="12060" width="6.625" style="3" customWidth="1"/>
    <col min="12061" max="12288" width="9" style="3"/>
    <col min="12289" max="12289" width="3.625" style="3" customWidth="1"/>
    <col min="12290" max="12291" width="10.125" style="3" customWidth="1"/>
    <col min="12292" max="12292" width="5.625" style="3" customWidth="1"/>
    <col min="12293" max="12293" width="5.25" style="3" customWidth="1"/>
    <col min="12294" max="12294" width="8.125" style="3" customWidth="1"/>
    <col min="12295" max="12295" width="1.625" style="3" customWidth="1"/>
    <col min="12296" max="12296" width="4.625" style="3" customWidth="1"/>
    <col min="12297" max="12297" width="1.625" style="3" customWidth="1"/>
    <col min="12298" max="12298" width="4.625" style="3" customWidth="1"/>
    <col min="12299" max="12299" width="1.625" style="3" customWidth="1"/>
    <col min="12300" max="12300" width="8.625" style="3" customWidth="1"/>
    <col min="12301" max="12303" width="0" style="3" hidden="1" customWidth="1"/>
    <col min="12304" max="12304" width="10.25" style="3" customWidth="1"/>
    <col min="12305" max="12305" width="6.625" style="3" customWidth="1"/>
    <col min="12306" max="12306" width="9.625" style="3" customWidth="1"/>
    <col min="12307" max="12308" width="6.625" style="3" customWidth="1"/>
    <col min="12309" max="12309" width="7.125" style="3" customWidth="1"/>
    <col min="12310" max="12310" width="11.625" style="3" customWidth="1"/>
    <col min="12311" max="12311" width="9.625" style="3" customWidth="1"/>
    <col min="12312" max="12312" width="0" style="3" hidden="1" customWidth="1"/>
    <col min="12313" max="12314" width="3.625" style="3" customWidth="1"/>
    <col min="12315" max="12315" width="5.625" style="3" customWidth="1"/>
    <col min="12316" max="12316" width="6.625" style="3" customWidth="1"/>
    <col min="12317" max="12544" width="9" style="3"/>
    <col min="12545" max="12545" width="3.625" style="3" customWidth="1"/>
    <col min="12546" max="12547" width="10.125" style="3" customWidth="1"/>
    <col min="12548" max="12548" width="5.625" style="3" customWidth="1"/>
    <col min="12549" max="12549" width="5.25" style="3" customWidth="1"/>
    <col min="12550" max="12550" width="8.125" style="3" customWidth="1"/>
    <col min="12551" max="12551" width="1.625" style="3" customWidth="1"/>
    <col min="12552" max="12552" width="4.625" style="3" customWidth="1"/>
    <col min="12553" max="12553" width="1.625" style="3" customWidth="1"/>
    <col min="12554" max="12554" width="4.625" style="3" customWidth="1"/>
    <col min="12555" max="12555" width="1.625" style="3" customWidth="1"/>
    <col min="12556" max="12556" width="8.625" style="3" customWidth="1"/>
    <col min="12557" max="12559" width="0" style="3" hidden="1" customWidth="1"/>
    <col min="12560" max="12560" width="10.25" style="3" customWidth="1"/>
    <col min="12561" max="12561" width="6.625" style="3" customWidth="1"/>
    <col min="12562" max="12562" width="9.625" style="3" customWidth="1"/>
    <col min="12563" max="12564" width="6.625" style="3" customWidth="1"/>
    <col min="12565" max="12565" width="7.125" style="3" customWidth="1"/>
    <col min="12566" max="12566" width="11.625" style="3" customWidth="1"/>
    <col min="12567" max="12567" width="9.625" style="3" customWidth="1"/>
    <col min="12568" max="12568" width="0" style="3" hidden="1" customWidth="1"/>
    <col min="12569" max="12570" width="3.625" style="3" customWidth="1"/>
    <col min="12571" max="12571" width="5.625" style="3" customWidth="1"/>
    <col min="12572" max="12572" width="6.625" style="3" customWidth="1"/>
    <col min="12573" max="12800" width="9" style="3"/>
    <col min="12801" max="12801" width="3.625" style="3" customWidth="1"/>
    <col min="12802" max="12803" width="10.125" style="3" customWidth="1"/>
    <col min="12804" max="12804" width="5.625" style="3" customWidth="1"/>
    <col min="12805" max="12805" width="5.25" style="3" customWidth="1"/>
    <col min="12806" max="12806" width="8.125" style="3" customWidth="1"/>
    <col min="12807" max="12807" width="1.625" style="3" customWidth="1"/>
    <col min="12808" max="12808" width="4.625" style="3" customWidth="1"/>
    <col min="12809" max="12809" width="1.625" style="3" customWidth="1"/>
    <col min="12810" max="12810" width="4.625" style="3" customWidth="1"/>
    <col min="12811" max="12811" width="1.625" style="3" customWidth="1"/>
    <col min="12812" max="12812" width="8.625" style="3" customWidth="1"/>
    <col min="12813" max="12815" width="0" style="3" hidden="1" customWidth="1"/>
    <col min="12816" max="12816" width="10.25" style="3" customWidth="1"/>
    <col min="12817" max="12817" width="6.625" style="3" customWidth="1"/>
    <col min="12818" max="12818" width="9.625" style="3" customWidth="1"/>
    <col min="12819" max="12820" width="6.625" style="3" customWidth="1"/>
    <col min="12821" max="12821" width="7.125" style="3" customWidth="1"/>
    <col min="12822" max="12822" width="11.625" style="3" customWidth="1"/>
    <col min="12823" max="12823" width="9.625" style="3" customWidth="1"/>
    <col min="12824" max="12824" width="0" style="3" hidden="1" customWidth="1"/>
    <col min="12825" max="12826" width="3.625" style="3" customWidth="1"/>
    <col min="12827" max="12827" width="5.625" style="3" customWidth="1"/>
    <col min="12828" max="12828" width="6.625" style="3" customWidth="1"/>
    <col min="12829" max="13056" width="9" style="3"/>
    <col min="13057" max="13057" width="3.625" style="3" customWidth="1"/>
    <col min="13058" max="13059" width="10.125" style="3" customWidth="1"/>
    <col min="13060" max="13060" width="5.625" style="3" customWidth="1"/>
    <col min="13061" max="13061" width="5.25" style="3" customWidth="1"/>
    <col min="13062" max="13062" width="8.125" style="3" customWidth="1"/>
    <col min="13063" max="13063" width="1.625" style="3" customWidth="1"/>
    <col min="13064" max="13064" width="4.625" style="3" customWidth="1"/>
    <col min="13065" max="13065" width="1.625" style="3" customWidth="1"/>
    <col min="13066" max="13066" width="4.625" style="3" customWidth="1"/>
    <col min="13067" max="13067" width="1.625" style="3" customWidth="1"/>
    <col min="13068" max="13068" width="8.625" style="3" customWidth="1"/>
    <col min="13069" max="13071" width="0" style="3" hidden="1" customWidth="1"/>
    <col min="13072" max="13072" width="10.25" style="3" customWidth="1"/>
    <col min="13073" max="13073" width="6.625" style="3" customWidth="1"/>
    <col min="13074" max="13074" width="9.625" style="3" customWidth="1"/>
    <col min="13075" max="13076" width="6.625" style="3" customWidth="1"/>
    <col min="13077" max="13077" width="7.125" style="3" customWidth="1"/>
    <col min="13078" max="13078" width="11.625" style="3" customWidth="1"/>
    <col min="13079" max="13079" width="9.625" style="3" customWidth="1"/>
    <col min="13080" max="13080" width="0" style="3" hidden="1" customWidth="1"/>
    <col min="13081" max="13082" width="3.625" style="3" customWidth="1"/>
    <col min="13083" max="13083" width="5.625" style="3" customWidth="1"/>
    <col min="13084" max="13084" width="6.625" style="3" customWidth="1"/>
    <col min="13085" max="13312" width="9" style="3"/>
    <col min="13313" max="13313" width="3.625" style="3" customWidth="1"/>
    <col min="13314" max="13315" width="10.125" style="3" customWidth="1"/>
    <col min="13316" max="13316" width="5.625" style="3" customWidth="1"/>
    <col min="13317" max="13317" width="5.25" style="3" customWidth="1"/>
    <col min="13318" max="13318" width="8.125" style="3" customWidth="1"/>
    <col min="13319" max="13319" width="1.625" style="3" customWidth="1"/>
    <col min="13320" max="13320" width="4.625" style="3" customWidth="1"/>
    <col min="13321" max="13321" width="1.625" style="3" customWidth="1"/>
    <col min="13322" max="13322" width="4.625" style="3" customWidth="1"/>
    <col min="13323" max="13323" width="1.625" style="3" customWidth="1"/>
    <col min="13324" max="13324" width="8.625" style="3" customWidth="1"/>
    <col min="13325" max="13327" width="0" style="3" hidden="1" customWidth="1"/>
    <col min="13328" max="13328" width="10.25" style="3" customWidth="1"/>
    <col min="13329" max="13329" width="6.625" style="3" customWidth="1"/>
    <col min="13330" max="13330" width="9.625" style="3" customWidth="1"/>
    <col min="13331" max="13332" width="6.625" style="3" customWidth="1"/>
    <col min="13333" max="13333" width="7.125" style="3" customWidth="1"/>
    <col min="13334" max="13334" width="11.625" style="3" customWidth="1"/>
    <col min="13335" max="13335" width="9.625" style="3" customWidth="1"/>
    <col min="13336" max="13336" width="0" style="3" hidden="1" customWidth="1"/>
    <col min="13337" max="13338" width="3.625" style="3" customWidth="1"/>
    <col min="13339" max="13339" width="5.625" style="3" customWidth="1"/>
    <col min="13340" max="13340" width="6.625" style="3" customWidth="1"/>
    <col min="13341" max="13568" width="9" style="3"/>
    <col min="13569" max="13569" width="3.625" style="3" customWidth="1"/>
    <col min="13570" max="13571" width="10.125" style="3" customWidth="1"/>
    <col min="13572" max="13572" width="5.625" style="3" customWidth="1"/>
    <col min="13573" max="13573" width="5.25" style="3" customWidth="1"/>
    <col min="13574" max="13574" width="8.125" style="3" customWidth="1"/>
    <col min="13575" max="13575" width="1.625" style="3" customWidth="1"/>
    <col min="13576" max="13576" width="4.625" style="3" customWidth="1"/>
    <col min="13577" max="13577" width="1.625" style="3" customWidth="1"/>
    <col min="13578" max="13578" width="4.625" style="3" customWidth="1"/>
    <col min="13579" max="13579" width="1.625" style="3" customWidth="1"/>
    <col min="13580" max="13580" width="8.625" style="3" customWidth="1"/>
    <col min="13581" max="13583" width="0" style="3" hidden="1" customWidth="1"/>
    <col min="13584" max="13584" width="10.25" style="3" customWidth="1"/>
    <col min="13585" max="13585" width="6.625" style="3" customWidth="1"/>
    <col min="13586" max="13586" width="9.625" style="3" customWidth="1"/>
    <col min="13587" max="13588" width="6.625" style="3" customWidth="1"/>
    <col min="13589" max="13589" width="7.125" style="3" customWidth="1"/>
    <col min="13590" max="13590" width="11.625" style="3" customWidth="1"/>
    <col min="13591" max="13591" width="9.625" style="3" customWidth="1"/>
    <col min="13592" max="13592" width="0" style="3" hidden="1" customWidth="1"/>
    <col min="13593" max="13594" width="3.625" style="3" customWidth="1"/>
    <col min="13595" max="13595" width="5.625" style="3" customWidth="1"/>
    <col min="13596" max="13596" width="6.625" style="3" customWidth="1"/>
    <col min="13597" max="13824" width="9" style="3"/>
    <col min="13825" max="13825" width="3.625" style="3" customWidth="1"/>
    <col min="13826" max="13827" width="10.125" style="3" customWidth="1"/>
    <col min="13828" max="13828" width="5.625" style="3" customWidth="1"/>
    <col min="13829" max="13829" width="5.25" style="3" customWidth="1"/>
    <col min="13830" max="13830" width="8.125" style="3" customWidth="1"/>
    <col min="13831" max="13831" width="1.625" style="3" customWidth="1"/>
    <col min="13832" max="13832" width="4.625" style="3" customWidth="1"/>
    <col min="13833" max="13833" width="1.625" style="3" customWidth="1"/>
    <col min="13834" max="13834" width="4.625" style="3" customWidth="1"/>
    <col min="13835" max="13835" width="1.625" style="3" customWidth="1"/>
    <col min="13836" max="13836" width="8.625" style="3" customWidth="1"/>
    <col min="13837" max="13839" width="0" style="3" hidden="1" customWidth="1"/>
    <col min="13840" max="13840" width="10.25" style="3" customWidth="1"/>
    <col min="13841" max="13841" width="6.625" style="3" customWidth="1"/>
    <col min="13842" max="13842" width="9.625" style="3" customWidth="1"/>
    <col min="13843" max="13844" width="6.625" style="3" customWidth="1"/>
    <col min="13845" max="13845" width="7.125" style="3" customWidth="1"/>
    <col min="13846" max="13846" width="11.625" style="3" customWidth="1"/>
    <col min="13847" max="13847" width="9.625" style="3" customWidth="1"/>
    <col min="13848" max="13848" width="0" style="3" hidden="1" customWidth="1"/>
    <col min="13849" max="13850" width="3.625" style="3" customWidth="1"/>
    <col min="13851" max="13851" width="5.625" style="3" customWidth="1"/>
    <col min="13852" max="13852" width="6.625" style="3" customWidth="1"/>
    <col min="13853" max="14080" width="9" style="3"/>
    <col min="14081" max="14081" width="3.625" style="3" customWidth="1"/>
    <col min="14082" max="14083" width="10.125" style="3" customWidth="1"/>
    <col min="14084" max="14084" width="5.625" style="3" customWidth="1"/>
    <col min="14085" max="14085" width="5.25" style="3" customWidth="1"/>
    <col min="14086" max="14086" width="8.125" style="3" customWidth="1"/>
    <col min="14087" max="14087" width="1.625" style="3" customWidth="1"/>
    <col min="14088" max="14088" width="4.625" style="3" customWidth="1"/>
    <col min="14089" max="14089" width="1.625" style="3" customWidth="1"/>
    <col min="14090" max="14090" width="4.625" style="3" customWidth="1"/>
    <col min="14091" max="14091" width="1.625" style="3" customWidth="1"/>
    <col min="14092" max="14092" width="8.625" style="3" customWidth="1"/>
    <col min="14093" max="14095" width="0" style="3" hidden="1" customWidth="1"/>
    <col min="14096" max="14096" width="10.25" style="3" customWidth="1"/>
    <col min="14097" max="14097" width="6.625" style="3" customWidth="1"/>
    <col min="14098" max="14098" width="9.625" style="3" customWidth="1"/>
    <col min="14099" max="14100" width="6.625" style="3" customWidth="1"/>
    <col min="14101" max="14101" width="7.125" style="3" customWidth="1"/>
    <col min="14102" max="14102" width="11.625" style="3" customWidth="1"/>
    <col min="14103" max="14103" width="9.625" style="3" customWidth="1"/>
    <col min="14104" max="14104" width="0" style="3" hidden="1" customWidth="1"/>
    <col min="14105" max="14106" width="3.625" style="3" customWidth="1"/>
    <col min="14107" max="14107" width="5.625" style="3" customWidth="1"/>
    <col min="14108" max="14108" width="6.625" style="3" customWidth="1"/>
    <col min="14109" max="14336" width="9" style="3"/>
    <col min="14337" max="14337" width="3.625" style="3" customWidth="1"/>
    <col min="14338" max="14339" width="10.125" style="3" customWidth="1"/>
    <col min="14340" max="14340" width="5.625" style="3" customWidth="1"/>
    <col min="14341" max="14341" width="5.25" style="3" customWidth="1"/>
    <col min="14342" max="14342" width="8.125" style="3" customWidth="1"/>
    <col min="14343" max="14343" width="1.625" style="3" customWidth="1"/>
    <col min="14344" max="14344" width="4.625" style="3" customWidth="1"/>
    <col min="14345" max="14345" width="1.625" style="3" customWidth="1"/>
    <col min="14346" max="14346" width="4.625" style="3" customWidth="1"/>
    <col min="14347" max="14347" width="1.625" style="3" customWidth="1"/>
    <col min="14348" max="14348" width="8.625" style="3" customWidth="1"/>
    <col min="14349" max="14351" width="0" style="3" hidden="1" customWidth="1"/>
    <col min="14352" max="14352" width="10.25" style="3" customWidth="1"/>
    <col min="14353" max="14353" width="6.625" style="3" customWidth="1"/>
    <col min="14354" max="14354" width="9.625" style="3" customWidth="1"/>
    <col min="14355" max="14356" width="6.625" style="3" customWidth="1"/>
    <col min="14357" max="14357" width="7.125" style="3" customWidth="1"/>
    <col min="14358" max="14358" width="11.625" style="3" customWidth="1"/>
    <col min="14359" max="14359" width="9.625" style="3" customWidth="1"/>
    <col min="14360" max="14360" width="0" style="3" hidden="1" customWidth="1"/>
    <col min="14361" max="14362" width="3.625" style="3" customWidth="1"/>
    <col min="14363" max="14363" width="5.625" style="3" customWidth="1"/>
    <col min="14364" max="14364" width="6.625" style="3" customWidth="1"/>
    <col min="14365" max="14592" width="9" style="3"/>
    <col min="14593" max="14593" width="3.625" style="3" customWidth="1"/>
    <col min="14594" max="14595" width="10.125" style="3" customWidth="1"/>
    <col min="14596" max="14596" width="5.625" style="3" customWidth="1"/>
    <col min="14597" max="14597" width="5.25" style="3" customWidth="1"/>
    <col min="14598" max="14598" width="8.125" style="3" customWidth="1"/>
    <col min="14599" max="14599" width="1.625" style="3" customWidth="1"/>
    <col min="14600" max="14600" width="4.625" style="3" customWidth="1"/>
    <col min="14601" max="14601" width="1.625" style="3" customWidth="1"/>
    <col min="14602" max="14602" width="4.625" style="3" customWidth="1"/>
    <col min="14603" max="14603" width="1.625" style="3" customWidth="1"/>
    <col min="14604" max="14604" width="8.625" style="3" customWidth="1"/>
    <col min="14605" max="14607" width="0" style="3" hidden="1" customWidth="1"/>
    <col min="14608" max="14608" width="10.25" style="3" customWidth="1"/>
    <col min="14609" max="14609" width="6.625" style="3" customWidth="1"/>
    <col min="14610" max="14610" width="9.625" style="3" customWidth="1"/>
    <col min="14611" max="14612" width="6.625" style="3" customWidth="1"/>
    <col min="14613" max="14613" width="7.125" style="3" customWidth="1"/>
    <col min="14614" max="14614" width="11.625" style="3" customWidth="1"/>
    <col min="14615" max="14615" width="9.625" style="3" customWidth="1"/>
    <col min="14616" max="14616" width="0" style="3" hidden="1" customWidth="1"/>
    <col min="14617" max="14618" width="3.625" style="3" customWidth="1"/>
    <col min="14619" max="14619" width="5.625" style="3" customWidth="1"/>
    <col min="14620" max="14620" width="6.625" style="3" customWidth="1"/>
    <col min="14621" max="14848" width="9" style="3"/>
    <col min="14849" max="14849" width="3.625" style="3" customWidth="1"/>
    <col min="14850" max="14851" width="10.125" style="3" customWidth="1"/>
    <col min="14852" max="14852" width="5.625" style="3" customWidth="1"/>
    <col min="14853" max="14853" width="5.25" style="3" customWidth="1"/>
    <col min="14854" max="14854" width="8.125" style="3" customWidth="1"/>
    <col min="14855" max="14855" width="1.625" style="3" customWidth="1"/>
    <col min="14856" max="14856" width="4.625" style="3" customWidth="1"/>
    <col min="14857" max="14857" width="1.625" style="3" customWidth="1"/>
    <col min="14858" max="14858" width="4.625" style="3" customWidth="1"/>
    <col min="14859" max="14859" width="1.625" style="3" customWidth="1"/>
    <col min="14860" max="14860" width="8.625" style="3" customWidth="1"/>
    <col min="14861" max="14863" width="0" style="3" hidden="1" customWidth="1"/>
    <col min="14864" max="14864" width="10.25" style="3" customWidth="1"/>
    <col min="14865" max="14865" width="6.625" style="3" customWidth="1"/>
    <col min="14866" max="14866" width="9.625" style="3" customWidth="1"/>
    <col min="14867" max="14868" width="6.625" style="3" customWidth="1"/>
    <col min="14869" max="14869" width="7.125" style="3" customWidth="1"/>
    <col min="14870" max="14870" width="11.625" style="3" customWidth="1"/>
    <col min="14871" max="14871" width="9.625" style="3" customWidth="1"/>
    <col min="14872" max="14872" width="0" style="3" hidden="1" customWidth="1"/>
    <col min="14873" max="14874" width="3.625" style="3" customWidth="1"/>
    <col min="14875" max="14875" width="5.625" style="3" customWidth="1"/>
    <col min="14876" max="14876" width="6.625" style="3" customWidth="1"/>
    <col min="14877" max="15104" width="9" style="3"/>
    <col min="15105" max="15105" width="3.625" style="3" customWidth="1"/>
    <col min="15106" max="15107" width="10.125" style="3" customWidth="1"/>
    <col min="15108" max="15108" width="5.625" style="3" customWidth="1"/>
    <col min="15109" max="15109" width="5.25" style="3" customWidth="1"/>
    <col min="15110" max="15110" width="8.125" style="3" customWidth="1"/>
    <col min="15111" max="15111" width="1.625" style="3" customWidth="1"/>
    <col min="15112" max="15112" width="4.625" style="3" customWidth="1"/>
    <col min="15113" max="15113" width="1.625" style="3" customWidth="1"/>
    <col min="15114" max="15114" width="4.625" style="3" customWidth="1"/>
    <col min="15115" max="15115" width="1.625" style="3" customWidth="1"/>
    <col min="15116" max="15116" width="8.625" style="3" customWidth="1"/>
    <col min="15117" max="15119" width="0" style="3" hidden="1" customWidth="1"/>
    <col min="15120" max="15120" width="10.25" style="3" customWidth="1"/>
    <col min="15121" max="15121" width="6.625" style="3" customWidth="1"/>
    <col min="15122" max="15122" width="9.625" style="3" customWidth="1"/>
    <col min="15123" max="15124" width="6.625" style="3" customWidth="1"/>
    <col min="15125" max="15125" width="7.125" style="3" customWidth="1"/>
    <col min="15126" max="15126" width="11.625" style="3" customWidth="1"/>
    <col min="15127" max="15127" width="9.625" style="3" customWidth="1"/>
    <col min="15128" max="15128" width="0" style="3" hidden="1" customWidth="1"/>
    <col min="15129" max="15130" width="3.625" style="3" customWidth="1"/>
    <col min="15131" max="15131" width="5.625" style="3" customWidth="1"/>
    <col min="15132" max="15132" width="6.625" style="3" customWidth="1"/>
    <col min="15133" max="15360" width="9" style="3"/>
    <col min="15361" max="15361" width="3.625" style="3" customWidth="1"/>
    <col min="15362" max="15363" width="10.125" style="3" customWidth="1"/>
    <col min="15364" max="15364" width="5.625" style="3" customWidth="1"/>
    <col min="15365" max="15365" width="5.25" style="3" customWidth="1"/>
    <col min="15366" max="15366" width="8.125" style="3" customWidth="1"/>
    <col min="15367" max="15367" width="1.625" style="3" customWidth="1"/>
    <col min="15368" max="15368" width="4.625" style="3" customWidth="1"/>
    <col min="15369" max="15369" width="1.625" style="3" customWidth="1"/>
    <col min="15370" max="15370" width="4.625" style="3" customWidth="1"/>
    <col min="15371" max="15371" width="1.625" style="3" customWidth="1"/>
    <col min="15372" max="15372" width="8.625" style="3" customWidth="1"/>
    <col min="15373" max="15375" width="0" style="3" hidden="1" customWidth="1"/>
    <col min="15376" max="15376" width="10.25" style="3" customWidth="1"/>
    <col min="15377" max="15377" width="6.625" style="3" customWidth="1"/>
    <col min="15378" max="15378" width="9.625" style="3" customWidth="1"/>
    <col min="15379" max="15380" width="6.625" style="3" customWidth="1"/>
    <col min="15381" max="15381" width="7.125" style="3" customWidth="1"/>
    <col min="15382" max="15382" width="11.625" style="3" customWidth="1"/>
    <col min="15383" max="15383" width="9.625" style="3" customWidth="1"/>
    <col min="15384" max="15384" width="0" style="3" hidden="1" customWidth="1"/>
    <col min="15385" max="15386" width="3.625" style="3" customWidth="1"/>
    <col min="15387" max="15387" width="5.625" style="3" customWidth="1"/>
    <col min="15388" max="15388" width="6.625" style="3" customWidth="1"/>
    <col min="15389" max="15616" width="9" style="3"/>
    <col min="15617" max="15617" width="3.625" style="3" customWidth="1"/>
    <col min="15618" max="15619" width="10.125" style="3" customWidth="1"/>
    <col min="15620" max="15620" width="5.625" style="3" customWidth="1"/>
    <col min="15621" max="15621" width="5.25" style="3" customWidth="1"/>
    <col min="15622" max="15622" width="8.125" style="3" customWidth="1"/>
    <col min="15623" max="15623" width="1.625" style="3" customWidth="1"/>
    <col min="15624" max="15624" width="4.625" style="3" customWidth="1"/>
    <col min="15625" max="15625" width="1.625" style="3" customWidth="1"/>
    <col min="15626" max="15626" width="4.625" style="3" customWidth="1"/>
    <col min="15627" max="15627" width="1.625" style="3" customWidth="1"/>
    <col min="15628" max="15628" width="8.625" style="3" customWidth="1"/>
    <col min="15629" max="15631" width="0" style="3" hidden="1" customWidth="1"/>
    <col min="15632" max="15632" width="10.25" style="3" customWidth="1"/>
    <col min="15633" max="15633" width="6.625" style="3" customWidth="1"/>
    <col min="15634" max="15634" width="9.625" style="3" customWidth="1"/>
    <col min="15635" max="15636" width="6.625" style="3" customWidth="1"/>
    <col min="15637" max="15637" width="7.125" style="3" customWidth="1"/>
    <col min="15638" max="15638" width="11.625" style="3" customWidth="1"/>
    <col min="15639" max="15639" width="9.625" style="3" customWidth="1"/>
    <col min="15640" max="15640" width="0" style="3" hidden="1" customWidth="1"/>
    <col min="15641" max="15642" width="3.625" style="3" customWidth="1"/>
    <col min="15643" max="15643" width="5.625" style="3" customWidth="1"/>
    <col min="15644" max="15644" width="6.625" style="3" customWidth="1"/>
    <col min="15645" max="15872" width="9" style="3"/>
    <col min="15873" max="15873" width="3.625" style="3" customWidth="1"/>
    <col min="15874" max="15875" width="10.125" style="3" customWidth="1"/>
    <col min="15876" max="15876" width="5.625" style="3" customWidth="1"/>
    <col min="15877" max="15877" width="5.25" style="3" customWidth="1"/>
    <col min="15878" max="15878" width="8.125" style="3" customWidth="1"/>
    <col min="15879" max="15879" width="1.625" style="3" customWidth="1"/>
    <col min="15880" max="15880" width="4.625" style="3" customWidth="1"/>
    <col min="15881" max="15881" width="1.625" style="3" customWidth="1"/>
    <col min="15882" max="15882" width="4.625" style="3" customWidth="1"/>
    <col min="15883" max="15883" width="1.625" style="3" customWidth="1"/>
    <col min="15884" max="15884" width="8.625" style="3" customWidth="1"/>
    <col min="15885" max="15887" width="0" style="3" hidden="1" customWidth="1"/>
    <col min="15888" max="15888" width="10.25" style="3" customWidth="1"/>
    <col min="15889" max="15889" width="6.625" style="3" customWidth="1"/>
    <col min="15890" max="15890" width="9.625" style="3" customWidth="1"/>
    <col min="15891" max="15892" width="6.625" style="3" customWidth="1"/>
    <col min="15893" max="15893" width="7.125" style="3" customWidth="1"/>
    <col min="15894" max="15894" width="11.625" style="3" customWidth="1"/>
    <col min="15895" max="15895" width="9.625" style="3" customWidth="1"/>
    <col min="15896" max="15896" width="0" style="3" hidden="1" customWidth="1"/>
    <col min="15897" max="15898" width="3.625" style="3" customWidth="1"/>
    <col min="15899" max="15899" width="5.625" style="3" customWidth="1"/>
    <col min="15900" max="15900" width="6.625" style="3" customWidth="1"/>
    <col min="15901" max="16128" width="9" style="3"/>
    <col min="16129" max="16129" width="3.625" style="3" customWidth="1"/>
    <col min="16130" max="16131" width="10.125" style="3" customWidth="1"/>
    <col min="16132" max="16132" width="5.625" style="3" customWidth="1"/>
    <col min="16133" max="16133" width="5.25" style="3" customWidth="1"/>
    <col min="16134" max="16134" width="8.125" style="3" customWidth="1"/>
    <col min="16135" max="16135" width="1.625" style="3" customWidth="1"/>
    <col min="16136" max="16136" width="4.625" style="3" customWidth="1"/>
    <col min="16137" max="16137" width="1.625" style="3" customWidth="1"/>
    <col min="16138" max="16138" width="4.625" style="3" customWidth="1"/>
    <col min="16139" max="16139" width="1.625" style="3" customWidth="1"/>
    <col min="16140" max="16140" width="8.625" style="3" customWidth="1"/>
    <col min="16141" max="16143" width="0" style="3" hidden="1" customWidth="1"/>
    <col min="16144" max="16144" width="10.25" style="3" customWidth="1"/>
    <col min="16145" max="16145" width="6.625" style="3" customWidth="1"/>
    <col min="16146" max="16146" width="9.625" style="3" customWidth="1"/>
    <col min="16147" max="16148" width="6.625" style="3" customWidth="1"/>
    <col min="16149" max="16149" width="7.125" style="3" customWidth="1"/>
    <col min="16150" max="16150" width="11.625" style="3" customWidth="1"/>
    <col min="16151" max="16151" width="9.625" style="3" customWidth="1"/>
    <col min="16152" max="16152" width="0" style="3" hidden="1" customWidth="1"/>
    <col min="16153" max="16154" width="3.625" style="3" customWidth="1"/>
    <col min="16155" max="16155" width="5.625" style="3" customWidth="1"/>
    <col min="16156" max="16156" width="6.625" style="3" customWidth="1"/>
    <col min="16157" max="16384" width="9" style="3"/>
  </cols>
  <sheetData>
    <row r="1" spans="1:27" ht="14.25" customHeight="1" x14ac:dyDescent="0.15">
      <c r="A1" s="373" t="s">
        <v>179</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row>
    <row r="2" spans="1:27" ht="14.25" x14ac:dyDescent="0.15">
      <c r="A2" s="1"/>
      <c r="B2" s="291"/>
      <c r="C2" s="291"/>
      <c r="D2" s="1"/>
      <c r="E2" s="1"/>
      <c r="F2" s="1"/>
      <c r="G2" s="1"/>
      <c r="H2" s="1"/>
      <c r="I2" s="1"/>
      <c r="J2" s="1"/>
      <c r="K2" s="1"/>
      <c r="L2" s="1"/>
      <c r="M2" s="1"/>
      <c r="N2" s="1"/>
      <c r="O2" s="1"/>
      <c r="P2" s="1"/>
      <c r="Q2" s="1"/>
      <c r="R2" s="1"/>
      <c r="S2" s="1"/>
      <c r="T2" s="1"/>
      <c r="U2" s="1"/>
      <c r="V2" s="1"/>
      <c r="W2" s="1"/>
      <c r="X2" s="1"/>
      <c r="Y2" s="1"/>
      <c r="Z2" s="1"/>
      <c r="AA2" s="1"/>
    </row>
    <row r="3" spans="1:27" ht="24" customHeight="1" x14ac:dyDescent="0.15">
      <c r="B3" s="292" t="s">
        <v>180</v>
      </c>
      <c r="C3" s="706" t="s">
        <v>181</v>
      </c>
      <c r="D3" s="706"/>
      <c r="E3" s="706"/>
      <c r="F3" s="706"/>
      <c r="H3" s="212"/>
      <c r="I3" s="212"/>
      <c r="K3" s="132"/>
      <c r="L3" s="707" t="s">
        <v>182</v>
      </c>
      <c r="M3" s="707"/>
      <c r="N3" s="707"/>
      <c r="O3" s="707"/>
      <c r="P3" s="707"/>
      <c r="Q3" s="707"/>
      <c r="R3" s="707"/>
      <c r="S3" s="707"/>
      <c r="T3" s="707"/>
      <c r="U3" s="707"/>
    </row>
    <row r="4" spans="1:27" s="134" customFormat="1" ht="14.25" customHeight="1" x14ac:dyDescent="0.15">
      <c r="A4" s="3"/>
      <c r="B4" s="292" t="s">
        <v>37</v>
      </c>
      <c r="C4" s="708">
        <v>60107</v>
      </c>
      <c r="D4" s="708"/>
      <c r="E4" s="708"/>
      <c r="F4" s="708"/>
      <c r="G4" s="213"/>
      <c r="H4" s="213"/>
      <c r="I4" s="9"/>
      <c r="J4" s="130"/>
      <c r="K4" s="130"/>
      <c r="L4" s="3"/>
      <c r="M4" s="3"/>
      <c r="N4" s="3"/>
      <c r="O4" s="3"/>
      <c r="P4" s="3"/>
      <c r="Q4" s="3"/>
      <c r="R4" s="3"/>
      <c r="S4" s="3"/>
      <c r="T4" s="3"/>
      <c r="U4" s="3"/>
      <c r="V4" s="3"/>
      <c r="W4" s="3"/>
      <c r="X4" s="3"/>
      <c r="Y4" s="3"/>
      <c r="Z4" s="3"/>
      <c r="AA4" s="3"/>
    </row>
    <row r="5" spans="1:27" s="134" customFormat="1" ht="14.25" thickBot="1" x14ac:dyDescent="0.2">
      <c r="A5" s="3"/>
      <c r="B5" s="293"/>
      <c r="C5" s="294"/>
      <c r="D5" s="9"/>
      <c r="E5" s="9"/>
      <c r="F5" s="9"/>
      <c r="G5" s="9"/>
      <c r="H5" s="9"/>
      <c r="I5" s="9"/>
      <c r="J5" s="130"/>
      <c r="K5" s="130"/>
      <c r="L5" s="3"/>
      <c r="M5" s="3"/>
      <c r="N5" s="3"/>
      <c r="O5" s="3"/>
      <c r="P5" s="3"/>
      <c r="Q5" s="3"/>
      <c r="R5" s="3"/>
      <c r="S5" s="3"/>
      <c r="T5" s="3"/>
      <c r="U5" s="3"/>
      <c r="V5" s="3"/>
      <c r="W5" s="3"/>
      <c r="X5" s="3"/>
      <c r="Y5" s="3"/>
      <c r="Z5" s="3"/>
      <c r="AA5" s="3"/>
    </row>
    <row r="6" spans="1:27" s="16" customFormat="1" ht="13.5" customHeight="1" x14ac:dyDescent="0.15">
      <c r="A6" s="709" t="s">
        <v>91</v>
      </c>
      <c r="B6" s="711" t="s">
        <v>163</v>
      </c>
      <c r="C6" s="712"/>
      <c r="D6" s="715" t="s">
        <v>93</v>
      </c>
      <c r="E6" s="716"/>
      <c r="F6" s="717" t="s">
        <v>148</v>
      </c>
      <c r="G6" s="715" t="s">
        <v>94</v>
      </c>
      <c r="H6" s="718"/>
      <c r="I6" s="718"/>
      <c r="J6" s="716"/>
      <c r="K6" s="719" t="s">
        <v>95</v>
      </c>
      <c r="L6" s="720"/>
      <c r="M6" s="711" t="s">
        <v>149</v>
      </c>
      <c r="N6" s="726"/>
      <c r="O6" s="712"/>
      <c r="P6" s="725" t="s">
        <v>150</v>
      </c>
      <c r="Q6" s="725" t="s">
        <v>94</v>
      </c>
      <c r="R6" s="725" t="s">
        <v>95</v>
      </c>
      <c r="S6" s="711" t="s">
        <v>151</v>
      </c>
      <c r="T6" s="712"/>
      <c r="U6" s="723" t="s">
        <v>152</v>
      </c>
      <c r="V6" s="723" t="s">
        <v>153</v>
      </c>
      <c r="W6" s="725" t="s">
        <v>100</v>
      </c>
      <c r="X6" s="725" t="s">
        <v>101</v>
      </c>
      <c r="Y6" s="711" t="s">
        <v>154</v>
      </c>
      <c r="Z6" s="726"/>
      <c r="AA6" s="727"/>
    </row>
    <row r="7" spans="1:27" s="16" customFormat="1" ht="14.25" customHeight="1" thickBot="1" x14ac:dyDescent="0.2">
      <c r="A7" s="710"/>
      <c r="B7" s="713"/>
      <c r="C7" s="714"/>
      <c r="D7" s="554"/>
      <c r="E7" s="611"/>
      <c r="F7" s="553"/>
      <c r="G7" s="554" t="s">
        <v>19</v>
      </c>
      <c r="H7" s="611"/>
      <c r="I7" s="554" t="s">
        <v>20</v>
      </c>
      <c r="J7" s="611"/>
      <c r="K7" s="721"/>
      <c r="L7" s="722"/>
      <c r="M7" s="713"/>
      <c r="N7" s="728"/>
      <c r="O7" s="714"/>
      <c r="P7" s="544"/>
      <c r="Q7" s="544"/>
      <c r="R7" s="544"/>
      <c r="S7" s="713"/>
      <c r="T7" s="714"/>
      <c r="U7" s="724"/>
      <c r="V7" s="724"/>
      <c r="W7" s="544"/>
      <c r="X7" s="544"/>
      <c r="Y7" s="713"/>
      <c r="Z7" s="728"/>
      <c r="AA7" s="729"/>
    </row>
    <row r="8" spans="1:27" s="16" customFormat="1" ht="26.1" customHeight="1" thickTop="1" x14ac:dyDescent="0.15">
      <c r="A8" s="295"/>
      <c r="B8" s="695"/>
      <c r="C8" s="696"/>
      <c r="D8" s="697"/>
      <c r="E8" s="698"/>
      <c r="F8" s="296"/>
      <c r="G8" s="699"/>
      <c r="H8" s="700"/>
      <c r="I8" s="699"/>
      <c r="J8" s="700"/>
      <c r="K8" s="701"/>
      <c r="L8" s="702"/>
      <c r="M8" s="703"/>
      <c r="N8" s="704"/>
      <c r="O8" s="705"/>
      <c r="P8" s="297"/>
      <c r="Q8" s="298"/>
      <c r="R8" s="299"/>
      <c r="S8" s="690"/>
      <c r="T8" s="691"/>
      <c r="U8" s="300"/>
      <c r="V8" s="301"/>
      <c r="W8" s="301"/>
      <c r="X8" s="301"/>
      <c r="Y8" s="692"/>
      <c r="Z8" s="693"/>
      <c r="AA8" s="694"/>
    </row>
    <row r="9" spans="1:27" s="16" customFormat="1" ht="26.1" customHeight="1" x14ac:dyDescent="0.15">
      <c r="A9" s="302"/>
      <c r="B9" s="568"/>
      <c r="C9" s="569"/>
      <c r="D9" s="596"/>
      <c r="E9" s="597"/>
      <c r="F9" s="228"/>
      <c r="G9" s="567"/>
      <c r="H9" s="571"/>
      <c r="I9" s="567"/>
      <c r="J9" s="571"/>
      <c r="K9" s="529"/>
      <c r="L9" s="572"/>
      <c r="M9" s="513"/>
      <c r="N9" s="573"/>
      <c r="O9" s="574"/>
      <c r="P9" s="270"/>
      <c r="Q9" s="233"/>
      <c r="R9" s="234"/>
      <c r="S9" s="626"/>
      <c r="T9" s="627"/>
      <c r="U9" s="235"/>
      <c r="V9" s="236"/>
      <c r="W9" s="236"/>
      <c r="X9" s="236"/>
      <c r="Y9" s="515"/>
      <c r="Z9" s="516"/>
      <c r="AA9" s="673"/>
    </row>
    <row r="10" spans="1:27" s="16" customFormat="1" ht="26.1" customHeight="1" x14ac:dyDescent="0.15">
      <c r="A10" s="302"/>
      <c r="B10" s="568"/>
      <c r="C10" s="569"/>
      <c r="D10" s="596"/>
      <c r="E10" s="597"/>
      <c r="F10" s="228"/>
      <c r="G10" s="567"/>
      <c r="H10" s="571"/>
      <c r="I10" s="567"/>
      <c r="J10" s="571"/>
      <c r="K10" s="529"/>
      <c r="L10" s="572"/>
      <c r="M10" s="513"/>
      <c r="N10" s="573"/>
      <c r="O10" s="574"/>
      <c r="P10" s="270"/>
      <c r="Q10" s="233"/>
      <c r="R10" s="234"/>
      <c r="S10" s="626"/>
      <c r="T10" s="627"/>
      <c r="U10" s="235"/>
      <c r="V10" s="236"/>
      <c r="W10" s="236"/>
      <c r="X10" s="236"/>
      <c r="Y10" s="515"/>
      <c r="Z10" s="516"/>
      <c r="AA10" s="673"/>
    </row>
    <row r="11" spans="1:27" s="16" customFormat="1" ht="26.1" customHeight="1" x14ac:dyDescent="0.15">
      <c r="A11" s="302"/>
      <c r="B11" s="568"/>
      <c r="C11" s="569"/>
      <c r="D11" s="596"/>
      <c r="E11" s="597"/>
      <c r="F11" s="228"/>
      <c r="G11" s="567"/>
      <c r="H11" s="571"/>
      <c r="I11" s="567"/>
      <c r="J11" s="571"/>
      <c r="K11" s="529"/>
      <c r="L11" s="572"/>
      <c r="M11" s="230"/>
      <c r="N11" s="239"/>
      <c r="O11" s="240"/>
      <c r="P11" s="270"/>
      <c r="Q11" s="233"/>
      <c r="R11" s="234"/>
      <c r="S11" s="626"/>
      <c r="T11" s="627"/>
      <c r="U11" s="235"/>
      <c r="V11" s="236"/>
      <c r="W11" s="236"/>
      <c r="X11" s="236"/>
      <c r="Y11" s="515"/>
      <c r="Z11" s="516"/>
      <c r="AA11" s="673"/>
    </row>
    <row r="12" spans="1:27" s="16" customFormat="1" ht="26.1" customHeight="1" x14ac:dyDescent="0.15">
      <c r="A12" s="302"/>
      <c r="B12" s="568"/>
      <c r="C12" s="569"/>
      <c r="D12" s="596"/>
      <c r="E12" s="597"/>
      <c r="F12" s="228"/>
      <c r="G12" s="567"/>
      <c r="H12" s="571"/>
      <c r="I12" s="567"/>
      <c r="J12" s="571"/>
      <c r="K12" s="529"/>
      <c r="L12" s="572"/>
      <c r="M12" s="230"/>
      <c r="N12" s="239"/>
      <c r="O12" s="240"/>
      <c r="P12" s="270"/>
      <c r="Q12" s="233"/>
      <c r="R12" s="234"/>
      <c r="S12" s="626"/>
      <c r="T12" s="627"/>
      <c r="U12" s="235"/>
      <c r="V12" s="236"/>
      <c r="W12" s="236"/>
      <c r="X12" s="236"/>
      <c r="Y12" s="515"/>
      <c r="Z12" s="516"/>
      <c r="AA12" s="673"/>
    </row>
    <row r="13" spans="1:27" s="16" customFormat="1" ht="26.1" customHeight="1" x14ac:dyDescent="0.15">
      <c r="A13" s="302"/>
      <c r="B13" s="568"/>
      <c r="C13" s="569"/>
      <c r="D13" s="596"/>
      <c r="E13" s="597"/>
      <c r="F13" s="228"/>
      <c r="G13" s="567"/>
      <c r="H13" s="571"/>
      <c r="I13" s="567"/>
      <c r="J13" s="571"/>
      <c r="K13" s="529"/>
      <c r="L13" s="572"/>
      <c r="M13" s="230"/>
      <c r="N13" s="239"/>
      <c r="O13" s="240"/>
      <c r="P13" s="270"/>
      <c r="Q13" s="233"/>
      <c r="R13" s="234"/>
      <c r="S13" s="626"/>
      <c r="T13" s="627"/>
      <c r="U13" s="235"/>
      <c r="V13" s="236"/>
      <c r="W13" s="236"/>
      <c r="X13" s="236"/>
      <c r="Y13" s="515"/>
      <c r="Z13" s="516"/>
      <c r="AA13" s="673"/>
    </row>
    <row r="14" spans="1:27" s="16" customFormat="1" ht="26.1" customHeight="1" x14ac:dyDescent="0.15">
      <c r="A14" s="302"/>
      <c r="B14" s="568"/>
      <c r="C14" s="569"/>
      <c r="D14" s="596"/>
      <c r="E14" s="597"/>
      <c r="F14" s="228"/>
      <c r="G14" s="567"/>
      <c r="H14" s="571"/>
      <c r="I14" s="567"/>
      <c r="J14" s="571"/>
      <c r="K14" s="529"/>
      <c r="L14" s="572"/>
      <c r="M14" s="230"/>
      <c r="N14" s="239"/>
      <c r="O14" s="240"/>
      <c r="P14" s="270"/>
      <c r="Q14" s="233"/>
      <c r="R14" s="234"/>
      <c r="S14" s="626"/>
      <c r="T14" s="627"/>
      <c r="U14" s="235"/>
      <c r="V14" s="236"/>
      <c r="W14" s="236"/>
      <c r="X14" s="236"/>
      <c r="Y14" s="515"/>
      <c r="Z14" s="516"/>
      <c r="AA14" s="673"/>
    </row>
    <row r="15" spans="1:27" s="16" customFormat="1" ht="26.1" customHeight="1" x14ac:dyDescent="0.15">
      <c r="A15" s="302"/>
      <c r="B15" s="568"/>
      <c r="C15" s="569"/>
      <c r="D15" s="596"/>
      <c r="E15" s="597"/>
      <c r="F15" s="228"/>
      <c r="G15" s="567"/>
      <c r="H15" s="571"/>
      <c r="I15" s="567"/>
      <c r="J15" s="571"/>
      <c r="K15" s="529"/>
      <c r="L15" s="572"/>
      <c r="M15" s="230"/>
      <c r="N15" s="239"/>
      <c r="O15" s="240"/>
      <c r="P15" s="270"/>
      <c r="Q15" s="233"/>
      <c r="R15" s="234"/>
      <c r="S15" s="626"/>
      <c r="T15" s="627"/>
      <c r="U15" s="235"/>
      <c r="V15" s="236"/>
      <c r="W15" s="236"/>
      <c r="X15" s="236"/>
      <c r="Y15" s="515"/>
      <c r="Z15" s="516"/>
      <c r="AA15" s="673"/>
    </row>
    <row r="16" spans="1:27" s="16" customFormat="1" ht="26.1" customHeight="1" x14ac:dyDescent="0.15">
      <c r="A16" s="302"/>
      <c r="B16" s="568"/>
      <c r="C16" s="569"/>
      <c r="D16" s="596"/>
      <c r="E16" s="597"/>
      <c r="F16" s="228"/>
      <c r="G16" s="567"/>
      <c r="H16" s="571"/>
      <c r="I16" s="567"/>
      <c r="J16" s="571"/>
      <c r="K16" s="529"/>
      <c r="L16" s="572"/>
      <c r="M16" s="230"/>
      <c r="N16" s="239"/>
      <c r="O16" s="240"/>
      <c r="P16" s="270"/>
      <c r="Q16" s="233"/>
      <c r="R16" s="234"/>
      <c r="S16" s="626"/>
      <c r="T16" s="627"/>
      <c r="U16" s="235"/>
      <c r="V16" s="236"/>
      <c r="W16" s="236"/>
      <c r="X16" s="236"/>
      <c r="Y16" s="515"/>
      <c r="Z16" s="516"/>
      <c r="AA16" s="673"/>
    </row>
    <row r="17" spans="1:27" s="16" customFormat="1" ht="26.1" customHeight="1" x14ac:dyDescent="0.15">
      <c r="A17" s="302"/>
      <c r="B17" s="568"/>
      <c r="C17" s="569"/>
      <c r="D17" s="596"/>
      <c r="E17" s="597"/>
      <c r="F17" s="228"/>
      <c r="G17" s="567"/>
      <c r="H17" s="571"/>
      <c r="I17" s="567"/>
      <c r="J17" s="571"/>
      <c r="K17" s="529"/>
      <c r="L17" s="572"/>
      <c r="M17" s="230"/>
      <c r="N17" s="239"/>
      <c r="O17" s="240"/>
      <c r="P17" s="270"/>
      <c r="Q17" s="233"/>
      <c r="R17" s="234"/>
      <c r="S17" s="626"/>
      <c r="T17" s="627"/>
      <c r="U17" s="235"/>
      <c r="V17" s="236"/>
      <c r="W17" s="236"/>
      <c r="X17" s="236"/>
      <c r="Y17" s="515"/>
      <c r="Z17" s="516"/>
      <c r="AA17" s="673"/>
    </row>
    <row r="18" spans="1:27" s="16" customFormat="1" ht="26.1" customHeight="1" x14ac:dyDescent="0.15">
      <c r="A18" s="302"/>
      <c r="B18" s="568"/>
      <c r="C18" s="569"/>
      <c r="D18" s="596"/>
      <c r="E18" s="597"/>
      <c r="F18" s="228"/>
      <c r="G18" s="567"/>
      <c r="H18" s="571"/>
      <c r="I18" s="567"/>
      <c r="J18" s="571"/>
      <c r="K18" s="529"/>
      <c r="L18" s="572"/>
      <c r="M18" s="230"/>
      <c r="N18" s="239"/>
      <c r="O18" s="240"/>
      <c r="P18" s="270"/>
      <c r="Q18" s="233"/>
      <c r="R18" s="234"/>
      <c r="S18" s="626"/>
      <c r="T18" s="627"/>
      <c r="U18" s="235"/>
      <c r="V18" s="236"/>
      <c r="W18" s="236"/>
      <c r="X18" s="236"/>
      <c r="Y18" s="515"/>
      <c r="Z18" s="516"/>
      <c r="AA18" s="673"/>
    </row>
    <row r="19" spans="1:27" s="16" customFormat="1" ht="26.1" customHeight="1" x14ac:dyDescent="0.15">
      <c r="A19" s="302"/>
      <c r="B19" s="568"/>
      <c r="C19" s="569"/>
      <c r="D19" s="596"/>
      <c r="E19" s="597"/>
      <c r="F19" s="228"/>
      <c r="G19" s="567"/>
      <c r="H19" s="571"/>
      <c r="I19" s="567"/>
      <c r="J19" s="571"/>
      <c r="K19" s="529"/>
      <c r="L19" s="572"/>
      <c r="M19" s="230"/>
      <c r="N19" s="239"/>
      <c r="O19" s="240"/>
      <c r="P19" s="270"/>
      <c r="Q19" s="233"/>
      <c r="R19" s="234"/>
      <c r="S19" s="626"/>
      <c r="T19" s="627"/>
      <c r="U19" s="235"/>
      <c r="V19" s="236"/>
      <c r="W19" s="236"/>
      <c r="X19" s="236"/>
      <c r="Y19" s="515"/>
      <c r="Z19" s="516"/>
      <c r="AA19" s="673"/>
    </row>
    <row r="20" spans="1:27" s="16" customFormat="1" ht="26.1" customHeight="1" x14ac:dyDescent="0.15">
      <c r="A20" s="302"/>
      <c r="B20" s="568"/>
      <c r="C20" s="569"/>
      <c r="D20" s="596"/>
      <c r="E20" s="597"/>
      <c r="F20" s="228"/>
      <c r="G20" s="567"/>
      <c r="H20" s="571"/>
      <c r="I20" s="567"/>
      <c r="J20" s="571"/>
      <c r="K20" s="529"/>
      <c r="L20" s="572"/>
      <c r="M20" s="230"/>
      <c r="N20" s="239"/>
      <c r="O20" s="240"/>
      <c r="P20" s="270"/>
      <c r="Q20" s="233"/>
      <c r="R20" s="234"/>
      <c r="S20" s="626"/>
      <c r="T20" s="627"/>
      <c r="U20" s="235"/>
      <c r="V20" s="236"/>
      <c r="W20" s="236"/>
      <c r="X20" s="236"/>
      <c r="Y20" s="515"/>
      <c r="Z20" s="516"/>
      <c r="AA20" s="673"/>
    </row>
    <row r="21" spans="1:27" s="16" customFormat="1" ht="26.1" customHeight="1" x14ac:dyDescent="0.15">
      <c r="A21" s="302"/>
      <c r="B21" s="568"/>
      <c r="C21" s="569"/>
      <c r="D21" s="596"/>
      <c r="E21" s="597"/>
      <c r="F21" s="228"/>
      <c r="G21" s="567"/>
      <c r="H21" s="571"/>
      <c r="I21" s="567"/>
      <c r="J21" s="571"/>
      <c r="K21" s="529"/>
      <c r="L21" s="572"/>
      <c r="M21" s="230"/>
      <c r="N21" s="239"/>
      <c r="O21" s="240"/>
      <c r="P21" s="270"/>
      <c r="Q21" s="233"/>
      <c r="R21" s="234"/>
      <c r="S21" s="626"/>
      <c r="T21" s="627"/>
      <c r="U21" s="235"/>
      <c r="V21" s="236"/>
      <c r="W21" s="236"/>
      <c r="X21" s="236"/>
      <c r="Y21" s="515"/>
      <c r="Z21" s="516"/>
      <c r="AA21" s="673"/>
    </row>
    <row r="22" spans="1:27" s="16" customFormat="1" ht="26.1" customHeight="1" x14ac:dyDescent="0.15">
      <c r="A22" s="302"/>
      <c r="B22" s="568"/>
      <c r="C22" s="569"/>
      <c r="D22" s="596"/>
      <c r="E22" s="597"/>
      <c r="F22" s="228"/>
      <c r="G22" s="567"/>
      <c r="H22" s="571"/>
      <c r="I22" s="567"/>
      <c r="J22" s="571"/>
      <c r="K22" s="529"/>
      <c r="L22" s="572"/>
      <c r="M22" s="230"/>
      <c r="N22" s="239"/>
      <c r="O22" s="240"/>
      <c r="P22" s="270"/>
      <c r="Q22" s="233"/>
      <c r="R22" s="234"/>
      <c r="S22" s="626"/>
      <c r="T22" s="627"/>
      <c r="U22" s="235"/>
      <c r="V22" s="236"/>
      <c r="W22" s="236"/>
      <c r="X22" s="236"/>
      <c r="Y22" s="515"/>
      <c r="Z22" s="516"/>
      <c r="AA22" s="673"/>
    </row>
    <row r="23" spans="1:27" s="16" customFormat="1" ht="26.1" customHeight="1" x14ac:dyDescent="0.15">
      <c r="A23" s="302"/>
      <c r="B23" s="568"/>
      <c r="C23" s="569"/>
      <c r="D23" s="596"/>
      <c r="E23" s="597"/>
      <c r="F23" s="228"/>
      <c r="G23" s="567"/>
      <c r="H23" s="571"/>
      <c r="I23" s="567"/>
      <c r="J23" s="571"/>
      <c r="K23" s="529"/>
      <c r="L23" s="572"/>
      <c r="M23" s="230"/>
      <c r="N23" s="239"/>
      <c r="O23" s="240"/>
      <c r="P23" s="270"/>
      <c r="Q23" s="233"/>
      <c r="R23" s="234"/>
      <c r="S23" s="626"/>
      <c r="T23" s="627"/>
      <c r="U23" s="235"/>
      <c r="V23" s="236"/>
      <c r="W23" s="236"/>
      <c r="X23" s="236"/>
      <c r="Y23" s="515"/>
      <c r="Z23" s="516"/>
      <c r="AA23" s="673"/>
    </row>
    <row r="24" spans="1:27" s="134" customFormat="1" ht="26.1" customHeight="1" x14ac:dyDescent="0.15">
      <c r="A24" s="302"/>
      <c r="B24" s="568"/>
      <c r="C24" s="569"/>
      <c r="D24" s="596"/>
      <c r="E24" s="597"/>
      <c r="F24" s="228"/>
      <c r="G24" s="567"/>
      <c r="H24" s="571"/>
      <c r="I24" s="567"/>
      <c r="J24" s="571"/>
      <c r="K24" s="529"/>
      <c r="L24" s="572"/>
      <c r="M24" s="230"/>
      <c r="N24" s="239"/>
      <c r="O24" s="240"/>
      <c r="P24" s="270"/>
      <c r="Q24" s="233"/>
      <c r="R24" s="234"/>
      <c r="S24" s="626"/>
      <c r="T24" s="627"/>
      <c r="U24" s="235"/>
      <c r="V24" s="236"/>
      <c r="W24" s="236"/>
      <c r="X24" s="236"/>
      <c r="Y24" s="515"/>
      <c r="Z24" s="516"/>
      <c r="AA24" s="673"/>
    </row>
    <row r="25" spans="1:27" s="16" customFormat="1" ht="26.1" customHeight="1" x14ac:dyDescent="0.15">
      <c r="A25" s="302"/>
      <c r="B25" s="568"/>
      <c r="C25" s="569"/>
      <c r="D25" s="596"/>
      <c r="E25" s="597"/>
      <c r="F25" s="228"/>
      <c r="G25" s="567"/>
      <c r="H25" s="571"/>
      <c r="I25" s="567"/>
      <c r="J25" s="571"/>
      <c r="K25" s="529"/>
      <c r="L25" s="572"/>
      <c r="M25" s="513"/>
      <c r="N25" s="573"/>
      <c r="O25" s="574"/>
      <c r="P25" s="270"/>
      <c r="Q25" s="233"/>
      <c r="R25" s="234"/>
      <c r="S25" s="626"/>
      <c r="T25" s="627"/>
      <c r="U25" s="235"/>
      <c r="V25" s="236"/>
      <c r="W25" s="236"/>
      <c r="X25" s="236"/>
      <c r="Y25" s="515"/>
      <c r="Z25" s="516"/>
      <c r="AA25" s="673"/>
    </row>
    <row r="26" spans="1:27" ht="26.1" customHeight="1" x14ac:dyDescent="0.15">
      <c r="A26" s="303"/>
      <c r="B26" s="568"/>
      <c r="C26" s="569"/>
      <c r="D26" s="596"/>
      <c r="E26" s="597"/>
      <c r="F26" s="228"/>
      <c r="G26" s="567"/>
      <c r="H26" s="571"/>
      <c r="I26" s="567"/>
      <c r="J26" s="571"/>
      <c r="K26" s="529"/>
      <c r="L26" s="572"/>
      <c r="M26" s="513"/>
      <c r="N26" s="573"/>
      <c r="O26" s="574"/>
      <c r="P26" s="270"/>
      <c r="Q26" s="233"/>
      <c r="R26" s="234"/>
      <c r="S26" s="626"/>
      <c r="T26" s="627"/>
      <c r="U26" s="235"/>
      <c r="V26" s="236"/>
      <c r="W26" s="236"/>
      <c r="X26" s="236"/>
      <c r="Y26" s="515"/>
      <c r="Z26" s="516"/>
      <c r="AA26" s="673"/>
    </row>
    <row r="27" spans="1:27" ht="26.1" customHeight="1" thickBot="1" x14ac:dyDescent="0.2">
      <c r="A27" s="304"/>
      <c r="B27" s="674"/>
      <c r="C27" s="675"/>
      <c r="D27" s="676"/>
      <c r="E27" s="677"/>
      <c r="F27" s="305"/>
      <c r="G27" s="678"/>
      <c r="H27" s="679"/>
      <c r="I27" s="678"/>
      <c r="J27" s="679"/>
      <c r="K27" s="680"/>
      <c r="L27" s="681"/>
      <c r="M27" s="682"/>
      <c r="N27" s="683"/>
      <c r="O27" s="684"/>
      <c r="P27" s="309"/>
      <c r="Q27" s="310"/>
      <c r="R27" s="311"/>
      <c r="S27" s="685"/>
      <c r="T27" s="686"/>
      <c r="U27" s="312"/>
      <c r="V27" s="313"/>
      <c r="W27" s="313"/>
      <c r="X27" s="313"/>
      <c r="Y27" s="687"/>
      <c r="Z27" s="688"/>
      <c r="AA27" s="689"/>
    </row>
    <row r="28" spans="1:27" s="2" customFormat="1" ht="14.25" x14ac:dyDescent="0.15">
      <c r="B28" s="314"/>
      <c r="C28" s="314"/>
    </row>
    <row r="29" spans="1:27" x14ac:dyDescent="0.15">
      <c r="B29" s="293"/>
      <c r="C29" s="293"/>
    </row>
  </sheetData>
  <mergeCells count="168">
    <mergeCell ref="A1:AA1"/>
    <mergeCell ref="C3:F3"/>
    <mergeCell ref="L3:U3"/>
    <mergeCell ref="C4:F4"/>
    <mergeCell ref="A6:A7"/>
    <mergeCell ref="B6:C7"/>
    <mergeCell ref="D6:E7"/>
    <mergeCell ref="F6:F7"/>
    <mergeCell ref="G6:J6"/>
    <mergeCell ref="K6:L7"/>
    <mergeCell ref="V6:V7"/>
    <mergeCell ref="W6:W7"/>
    <mergeCell ref="X6:X7"/>
    <mergeCell ref="Y6:AA7"/>
    <mergeCell ref="G7:H7"/>
    <mergeCell ref="I7:J7"/>
    <mergeCell ref="M6:O7"/>
    <mergeCell ref="P6:P7"/>
    <mergeCell ref="Q6:Q7"/>
    <mergeCell ref="R6:R7"/>
    <mergeCell ref="S6:T7"/>
    <mergeCell ref="U6:U7"/>
    <mergeCell ref="S8:T8"/>
    <mergeCell ref="Y8:AA8"/>
    <mergeCell ref="B9:C9"/>
    <mergeCell ref="D9:E9"/>
    <mergeCell ref="G9:H9"/>
    <mergeCell ref="I9:J9"/>
    <mergeCell ref="K9:L9"/>
    <mergeCell ref="M9:O9"/>
    <mergeCell ref="S9:T9"/>
    <mergeCell ref="Y9:AA9"/>
    <mergeCell ref="B8:C8"/>
    <mergeCell ref="D8:E8"/>
    <mergeCell ref="G8:H8"/>
    <mergeCell ref="I8:J8"/>
    <mergeCell ref="K8:L8"/>
    <mergeCell ref="M8:O8"/>
    <mergeCell ref="S10:T10"/>
    <mergeCell ref="Y10:AA10"/>
    <mergeCell ref="B11:C11"/>
    <mergeCell ref="D11:E11"/>
    <mergeCell ref="G11:H11"/>
    <mergeCell ref="I11:J11"/>
    <mergeCell ref="K11:L11"/>
    <mergeCell ref="S11:T11"/>
    <mergeCell ref="Y11:AA11"/>
    <mergeCell ref="B10:C10"/>
    <mergeCell ref="D10:E10"/>
    <mergeCell ref="G10:H10"/>
    <mergeCell ref="I10:J10"/>
    <mergeCell ref="K10:L10"/>
    <mergeCell ref="M10:O10"/>
    <mergeCell ref="Y12:AA12"/>
    <mergeCell ref="B13:C13"/>
    <mergeCell ref="D13:E13"/>
    <mergeCell ref="G13:H13"/>
    <mergeCell ref="I13:J13"/>
    <mergeCell ref="K13:L13"/>
    <mergeCell ref="S13:T13"/>
    <mergeCell ref="Y13:AA13"/>
    <mergeCell ref="B12:C12"/>
    <mergeCell ref="D12:E12"/>
    <mergeCell ref="G12:H12"/>
    <mergeCell ref="I12:J12"/>
    <mergeCell ref="K12:L12"/>
    <mergeCell ref="S12:T12"/>
    <mergeCell ref="Y14:AA14"/>
    <mergeCell ref="B15:C15"/>
    <mergeCell ref="D15:E15"/>
    <mergeCell ref="G15:H15"/>
    <mergeCell ref="I15:J15"/>
    <mergeCell ref="K15:L15"/>
    <mergeCell ref="S15:T15"/>
    <mergeCell ref="Y15:AA15"/>
    <mergeCell ref="B14:C14"/>
    <mergeCell ref="D14:E14"/>
    <mergeCell ref="G14:H14"/>
    <mergeCell ref="I14:J14"/>
    <mergeCell ref="K14:L14"/>
    <mergeCell ref="S14:T14"/>
    <mergeCell ref="Y16:AA16"/>
    <mergeCell ref="B17:C17"/>
    <mergeCell ref="D17:E17"/>
    <mergeCell ref="G17:H17"/>
    <mergeCell ref="I17:J17"/>
    <mergeCell ref="K17:L17"/>
    <mergeCell ref="S17:T17"/>
    <mergeCell ref="Y17:AA17"/>
    <mergeCell ref="B16:C16"/>
    <mergeCell ref="D16:E16"/>
    <mergeCell ref="G16:H16"/>
    <mergeCell ref="I16:J16"/>
    <mergeCell ref="K16:L16"/>
    <mergeCell ref="S16:T16"/>
    <mergeCell ref="Y18:AA18"/>
    <mergeCell ref="B19:C19"/>
    <mergeCell ref="D19:E19"/>
    <mergeCell ref="G19:H19"/>
    <mergeCell ref="I19:J19"/>
    <mergeCell ref="K19:L19"/>
    <mergeCell ref="S19:T19"/>
    <mergeCell ref="Y19:AA19"/>
    <mergeCell ref="B18:C18"/>
    <mergeCell ref="D18:E18"/>
    <mergeCell ref="G18:H18"/>
    <mergeCell ref="I18:J18"/>
    <mergeCell ref="K18:L18"/>
    <mergeCell ref="S18:T18"/>
    <mergeCell ref="Y20:AA20"/>
    <mergeCell ref="B21:C21"/>
    <mergeCell ref="D21:E21"/>
    <mergeCell ref="G21:H21"/>
    <mergeCell ref="I21:J21"/>
    <mergeCell ref="K21:L21"/>
    <mergeCell ref="S21:T21"/>
    <mergeCell ref="Y21:AA21"/>
    <mergeCell ref="B20:C20"/>
    <mergeCell ref="D20:E20"/>
    <mergeCell ref="G20:H20"/>
    <mergeCell ref="I20:J20"/>
    <mergeCell ref="K20:L20"/>
    <mergeCell ref="S20:T20"/>
    <mergeCell ref="Y22:AA22"/>
    <mergeCell ref="B23:C23"/>
    <mergeCell ref="D23:E23"/>
    <mergeCell ref="G23:H23"/>
    <mergeCell ref="I23:J23"/>
    <mergeCell ref="K23:L23"/>
    <mergeCell ref="S23:T23"/>
    <mergeCell ref="Y23:AA23"/>
    <mergeCell ref="B22:C22"/>
    <mergeCell ref="D22:E22"/>
    <mergeCell ref="G22:H22"/>
    <mergeCell ref="I22:J22"/>
    <mergeCell ref="K22:L22"/>
    <mergeCell ref="S22:T22"/>
    <mergeCell ref="Y24:AA24"/>
    <mergeCell ref="B25:C25"/>
    <mergeCell ref="D25:E25"/>
    <mergeCell ref="G25:H25"/>
    <mergeCell ref="I25:J25"/>
    <mergeCell ref="K25:L25"/>
    <mergeCell ref="M25:O25"/>
    <mergeCell ref="S25:T25"/>
    <mergeCell ref="Y25:AA25"/>
    <mergeCell ref="B24:C24"/>
    <mergeCell ref="D24:E24"/>
    <mergeCell ref="G24:H24"/>
    <mergeCell ref="I24:J24"/>
    <mergeCell ref="K24:L24"/>
    <mergeCell ref="S24:T24"/>
    <mergeCell ref="S26:T26"/>
    <mergeCell ref="Y26:AA26"/>
    <mergeCell ref="B27:C27"/>
    <mergeCell ref="D27:E27"/>
    <mergeCell ref="G27:H27"/>
    <mergeCell ref="I27:J27"/>
    <mergeCell ref="K27:L27"/>
    <mergeCell ref="M27:O27"/>
    <mergeCell ref="S27:T27"/>
    <mergeCell ref="Y27:AA27"/>
    <mergeCell ref="B26:C26"/>
    <mergeCell ref="D26:E26"/>
    <mergeCell ref="G26:H26"/>
    <mergeCell ref="I26:J26"/>
    <mergeCell ref="K26:L26"/>
    <mergeCell ref="M26:O26"/>
  </mergeCells>
  <phoneticPr fontId="3"/>
  <pageMargins left="0.19685039370078741" right="0.19685039370078741" top="0" bottom="0" header="0" footer="0"/>
  <pageSetup paperSize="9" scale="99"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13A35-0E2E-44F8-AA5B-65A3F466128C}">
  <sheetPr codeName="Sheet15"/>
  <dimension ref="A1:AE54"/>
  <sheetViews>
    <sheetView zoomScaleNormal="100" workbookViewId="0">
      <selection activeCell="Y24" sqref="Y24:AA24"/>
    </sheetView>
  </sheetViews>
  <sheetFormatPr defaultRowHeight="13.5" x14ac:dyDescent="0.15"/>
  <cols>
    <col min="1" max="1" width="3.625" style="3" customWidth="1"/>
    <col min="2" max="3" width="10.125" style="293" customWidth="1"/>
    <col min="4" max="4" width="5.625" style="3" customWidth="1"/>
    <col min="5" max="5" width="5.25" style="3" customWidth="1"/>
    <col min="6" max="6" width="8.125" style="3" customWidth="1"/>
    <col min="7" max="7" width="1.625" style="3" customWidth="1"/>
    <col min="8" max="8" width="4.625" style="3" customWidth="1"/>
    <col min="9" max="9" width="1.625" style="3" customWidth="1"/>
    <col min="10" max="10" width="4.625" style="3" customWidth="1"/>
    <col min="11" max="11" width="1.625" style="3" customWidth="1"/>
    <col min="12" max="12" width="8.625" style="3" customWidth="1"/>
    <col min="13" max="15" width="0" style="3" hidden="1" customWidth="1"/>
    <col min="16" max="16" width="10.25" style="3" customWidth="1"/>
    <col min="17" max="17" width="6.625" style="3" customWidth="1"/>
    <col min="18" max="18" width="9.625" style="3" customWidth="1"/>
    <col min="19" max="20" width="6.625" style="3" customWidth="1"/>
    <col min="21" max="21" width="7.125" style="3" customWidth="1"/>
    <col min="22" max="22" width="11.625" style="3" customWidth="1"/>
    <col min="23" max="23" width="9.625" style="3" customWidth="1"/>
    <col min="24" max="24" width="8" style="3" hidden="1" customWidth="1"/>
    <col min="25" max="26" width="3.625" style="3" customWidth="1"/>
    <col min="27" max="27" width="5.625" style="3" customWidth="1"/>
    <col min="28" max="28" width="6.625" style="3" customWidth="1"/>
    <col min="29" max="256" width="9" style="3"/>
    <col min="257" max="257" width="3.625" style="3" customWidth="1"/>
    <col min="258" max="259" width="10.125" style="3" customWidth="1"/>
    <col min="260" max="260" width="5.625" style="3" customWidth="1"/>
    <col min="261" max="261" width="5.25" style="3" customWidth="1"/>
    <col min="262" max="262" width="8.125" style="3" customWidth="1"/>
    <col min="263" max="263" width="1.625" style="3" customWidth="1"/>
    <col min="264" max="264" width="4.625" style="3" customWidth="1"/>
    <col min="265" max="265" width="1.625" style="3" customWidth="1"/>
    <col min="266" max="266" width="4.625" style="3" customWidth="1"/>
    <col min="267" max="267" width="1.625" style="3" customWidth="1"/>
    <col min="268" max="268" width="8.625" style="3" customWidth="1"/>
    <col min="269" max="271" width="0" style="3" hidden="1" customWidth="1"/>
    <col min="272" max="272" width="10.25" style="3" customWidth="1"/>
    <col min="273" max="273" width="6.625" style="3" customWidth="1"/>
    <col min="274" max="274" width="9.625" style="3" customWidth="1"/>
    <col min="275" max="276" width="6.625" style="3" customWidth="1"/>
    <col min="277" max="277" width="7.125" style="3" customWidth="1"/>
    <col min="278" max="278" width="11.625" style="3" customWidth="1"/>
    <col min="279" max="279" width="9.625" style="3" customWidth="1"/>
    <col min="280" max="280" width="0" style="3" hidden="1" customWidth="1"/>
    <col min="281" max="282" width="3.625" style="3" customWidth="1"/>
    <col min="283" max="283" width="5.625" style="3" customWidth="1"/>
    <col min="284" max="284" width="6.625" style="3" customWidth="1"/>
    <col min="285" max="512" width="9" style="3"/>
    <col min="513" max="513" width="3.625" style="3" customWidth="1"/>
    <col min="514" max="515" width="10.125" style="3" customWidth="1"/>
    <col min="516" max="516" width="5.625" style="3" customWidth="1"/>
    <col min="517" max="517" width="5.25" style="3" customWidth="1"/>
    <col min="518" max="518" width="8.125" style="3" customWidth="1"/>
    <col min="519" max="519" width="1.625" style="3" customWidth="1"/>
    <col min="520" max="520" width="4.625" style="3" customWidth="1"/>
    <col min="521" max="521" width="1.625" style="3" customWidth="1"/>
    <col min="522" max="522" width="4.625" style="3" customWidth="1"/>
    <col min="523" max="523" width="1.625" style="3" customWidth="1"/>
    <col min="524" max="524" width="8.625" style="3" customWidth="1"/>
    <col min="525" max="527" width="0" style="3" hidden="1" customWidth="1"/>
    <col min="528" max="528" width="10.25" style="3" customWidth="1"/>
    <col min="529" max="529" width="6.625" style="3" customWidth="1"/>
    <col min="530" max="530" width="9.625" style="3" customWidth="1"/>
    <col min="531" max="532" width="6.625" style="3" customWidth="1"/>
    <col min="533" max="533" width="7.125" style="3" customWidth="1"/>
    <col min="534" max="534" width="11.625" style="3" customWidth="1"/>
    <col min="535" max="535" width="9.625" style="3" customWidth="1"/>
    <col min="536" max="536" width="0" style="3" hidden="1" customWidth="1"/>
    <col min="537" max="538" width="3.625" style="3" customWidth="1"/>
    <col min="539" max="539" width="5.625" style="3" customWidth="1"/>
    <col min="540" max="540" width="6.625" style="3" customWidth="1"/>
    <col min="541" max="768" width="9" style="3"/>
    <col min="769" max="769" width="3.625" style="3" customWidth="1"/>
    <col min="770" max="771" width="10.125" style="3" customWidth="1"/>
    <col min="772" max="772" width="5.625" style="3" customWidth="1"/>
    <col min="773" max="773" width="5.25" style="3" customWidth="1"/>
    <col min="774" max="774" width="8.125" style="3" customWidth="1"/>
    <col min="775" max="775" width="1.625" style="3" customWidth="1"/>
    <col min="776" max="776" width="4.625" style="3" customWidth="1"/>
    <col min="777" max="777" width="1.625" style="3" customWidth="1"/>
    <col min="778" max="778" width="4.625" style="3" customWidth="1"/>
    <col min="779" max="779" width="1.625" style="3" customWidth="1"/>
    <col min="780" max="780" width="8.625" style="3" customWidth="1"/>
    <col min="781" max="783" width="0" style="3" hidden="1" customWidth="1"/>
    <col min="784" max="784" width="10.25" style="3" customWidth="1"/>
    <col min="785" max="785" width="6.625" style="3" customWidth="1"/>
    <col min="786" max="786" width="9.625" style="3" customWidth="1"/>
    <col min="787" max="788" width="6.625" style="3" customWidth="1"/>
    <col min="789" max="789" width="7.125" style="3" customWidth="1"/>
    <col min="790" max="790" width="11.625" style="3" customWidth="1"/>
    <col min="791" max="791" width="9.625" style="3" customWidth="1"/>
    <col min="792" max="792" width="0" style="3" hidden="1" customWidth="1"/>
    <col min="793" max="794" width="3.625" style="3" customWidth="1"/>
    <col min="795" max="795" width="5.625" style="3" customWidth="1"/>
    <col min="796" max="796" width="6.625" style="3" customWidth="1"/>
    <col min="797" max="1024" width="9" style="3"/>
    <col min="1025" max="1025" width="3.625" style="3" customWidth="1"/>
    <col min="1026" max="1027" width="10.125" style="3" customWidth="1"/>
    <col min="1028" max="1028" width="5.625" style="3" customWidth="1"/>
    <col min="1029" max="1029" width="5.25" style="3" customWidth="1"/>
    <col min="1030" max="1030" width="8.125" style="3" customWidth="1"/>
    <col min="1031" max="1031" width="1.625" style="3" customWidth="1"/>
    <col min="1032" max="1032" width="4.625" style="3" customWidth="1"/>
    <col min="1033" max="1033" width="1.625" style="3" customWidth="1"/>
    <col min="1034" max="1034" width="4.625" style="3" customWidth="1"/>
    <col min="1035" max="1035" width="1.625" style="3" customWidth="1"/>
    <col min="1036" max="1036" width="8.625" style="3" customWidth="1"/>
    <col min="1037" max="1039" width="0" style="3" hidden="1" customWidth="1"/>
    <col min="1040" max="1040" width="10.25" style="3" customWidth="1"/>
    <col min="1041" max="1041" width="6.625" style="3" customWidth="1"/>
    <col min="1042" max="1042" width="9.625" style="3" customWidth="1"/>
    <col min="1043" max="1044" width="6.625" style="3" customWidth="1"/>
    <col min="1045" max="1045" width="7.125" style="3" customWidth="1"/>
    <col min="1046" max="1046" width="11.625" style="3" customWidth="1"/>
    <col min="1047" max="1047" width="9.625" style="3" customWidth="1"/>
    <col min="1048" max="1048" width="0" style="3" hidden="1" customWidth="1"/>
    <col min="1049" max="1050" width="3.625" style="3" customWidth="1"/>
    <col min="1051" max="1051" width="5.625" style="3" customWidth="1"/>
    <col min="1052" max="1052" width="6.625" style="3" customWidth="1"/>
    <col min="1053" max="1280" width="9" style="3"/>
    <col min="1281" max="1281" width="3.625" style="3" customWidth="1"/>
    <col min="1282" max="1283" width="10.125" style="3" customWidth="1"/>
    <col min="1284" max="1284" width="5.625" style="3" customWidth="1"/>
    <col min="1285" max="1285" width="5.25" style="3" customWidth="1"/>
    <col min="1286" max="1286" width="8.125" style="3" customWidth="1"/>
    <col min="1287" max="1287" width="1.625" style="3" customWidth="1"/>
    <col min="1288" max="1288" width="4.625" style="3" customWidth="1"/>
    <col min="1289" max="1289" width="1.625" style="3" customWidth="1"/>
    <col min="1290" max="1290" width="4.625" style="3" customWidth="1"/>
    <col min="1291" max="1291" width="1.625" style="3" customWidth="1"/>
    <col min="1292" max="1292" width="8.625" style="3" customWidth="1"/>
    <col min="1293" max="1295" width="0" style="3" hidden="1" customWidth="1"/>
    <col min="1296" max="1296" width="10.25" style="3" customWidth="1"/>
    <col min="1297" max="1297" width="6.625" style="3" customWidth="1"/>
    <col min="1298" max="1298" width="9.625" style="3" customWidth="1"/>
    <col min="1299" max="1300" width="6.625" style="3" customWidth="1"/>
    <col min="1301" max="1301" width="7.125" style="3" customWidth="1"/>
    <col min="1302" max="1302" width="11.625" style="3" customWidth="1"/>
    <col min="1303" max="1303" width="9.625" style="3" customWidth="1"/>
    <col min="1304" max="1304" width="0" style="3" hidden="1" customWidth="1"/>
    <col min="1305" max="1306" width="3.625" style="3" customWidth="1"/>
    <col min="1307" max="1307" width="5.625" style="3" customWidth="1"/>
    <col min="1308" max="1308" width="6.625" style="3" customWidth="1"/>
    <col min="1309" max="1536" width="9" style="3"/>
    <col min="1537" max="1537" width="3.625" style="3" customWidth="1"/>
    <col min="1538" max="1539" width="10.125" style="3" customWidth="1"/>
    <col min="1540" max="1540" width="5.625" style="3" customWidth="1"/>
    <col min="1541" max="1541" width="5.25" style="3" customWidth="1"/>
    <col min="1542" max="1542" width="8.125" style="3" customWidth="1"/>
    <col min="1543" max="1543" width="1.625" style="3" customWidth="1"/>
    <col min="1544" max="1544" width="4.625" style="3" customWidth="1"/>
    <col min="1545" max="1545" width="1.625" style="3" customWidth="1"/>
    <col min="1546" max="1546" width="4.625" style="3" customWidth="1"/>
    <col min="1547" max="1547" width="1.625" style="3" customWidth="1"/>
    <col min="1548" max="1548" width="8.625" style="3" customWidth="1"/>
    <col min="1549" max="1551" width="0" style="3" hidden="1" customWidth="1"/>
    <col min="1552" max="1552" width="10.25" style="3" customWidth="1"/>
    <col min="1553" max="1553" width="6.625" style="3" customWidth="1"/>
    <col min="1554" max="1554" width="9.625" style="3" customWidth="1"/>
    <col min="1555" max="1556" width="6.625" style="3" customWidth="1"/>
    <col min="1557" max="1557" width="7.125" style="3" customWidth="1"/>
    <col min="1558" max="1558" width="11.625" style="3" customWidth="1"/>
    <col min="1559" max="1559" width="9.625" style="3" customWidth="1"/>
    <col min="1560" max="1560" width="0" style="3" hidden="1" customWidth="1"/>
    <col min="1561" max="1562" width="3.625" style="3" customWidth="1"/>
    <col min="1563" max="1563" width="5.625" style="3" customWidth="1"/>
    <col min="1564" max="1564" width="6.625" style="3" customWidth="1"/>
    <col min="1565" max="1792" width="9" style="3"/>
    <col min="1793" max="1793" width="3.625" style="3" customWidth="1"/>
    <col min="1794" max="1795" width="10.125" style="3" customWidth="1"/>
    <col min="1796" max="1796" width="5.625" style="3" customWidth="1"/>
    <col min="1797" max="1797" width="5.25" style="3" customWidth="1"/>
    <col min="1798" max="1798" width="8.125" style="3" customWidth="1"/>
    <col min="1799" max="1799" width="1.625" style="3" customWidth="1"/>
    <col min="1800" max="1800" width="4.625" style="3" customWidth="1"/>
    <col min="1801" max="1801" width="1.625" style="3" customWidth="1"/>
    <col min="1802" max="1802" width="4.625" style="3" customWidth="1"/>
    <col min="1803" max="1803" width="1.625" style="3" customWidth="1"/>
    <col min="1804" max="1804" width="8.625" style="3" customWidth="1"/>
    <col min="1805" max="1807" width="0" style="3" hidden="1" customWidth="1"/>
    <col min="1808" max="1808" width="10.25" style="3" customWidth="1"/>
    <col min="1809" max="1809" width="6.625" style="3" customWidth="1"/>
    <col min="1810" max="1810" width="9.625" style="3" customWidth="1"/>
    <col min="1811" max="1812" width="6.625" style="3" customWidth="1"/>
    <col min="1813" max="1813" width="7.125" style="3" customWidth="1"/>
    <col min="1814" max="1814" width="11.625" style="3" customWidth="1"/>
    <col min="1815" max="1815" width="9.625" style="3" customWidth="1"/>
    <col min="1816" max="1816" width="0" style="3" hidden="1" customWidth="1"/>
    <col min="1817" max="1818" width="3.625" style="3" customWidth="1"/>
    <col min="1819" max="1819" width="5.625" style="3" customWidth="1"/>
    <col min="1820" max="1820" width="6.625" style="3" customWidth="1"/>
    <col min="1821" max="2048" width="9" style="3"/>
    <col min="2049" max="2049" width="3.625" style="3" customWidth="1"/>
    <col min="2050" max="2051" width="10.125" style="3" customWidth="1"/>
    <col min="2052" max="2052" width="5.625" style="3" customWidth="1"/>
    <col min="2053" max="2053" width="5.25" style="3" customWidth="1"/>
    <col min="2054" max="2054" width="8.125" style="3" customWidth="1"/>
    <col min="2055" max="2055" width="1.625" style="3" customWidth="1"/>
    <col min="2056" max="2056" width="4.625" style="3" customWidth="1"/>
    <col min="2057" max="2057" width="1.625" style="3" customWidth="1"/>
    <col min="2058" max="2058" width="4.625" style="3" customWidth="1"/>
    <col min="2059" max="2059" width="1.625" style="3" customWidth="1"/>
    <col min="2060" max="2060" width="8.625" style="3" customWidth="1"/>
    <col min="2061" max="2063" width="0" style="3" hidden="1" customWidth="1"/>
    <col min="2064" max="2064" width="10.25" style="3" customWidth="1"/>
    <col min="2065" max="2065" width="6.625" style="3" customWidth="1"/>
    <col min="2066" max="2066" width="9.625" style="3" customWidth="1"/>
    <col min="2067" max="2068" width="6.625" style="3" customWidth="1"/>
    <col min="2069" max="2069" width="7.125" style="3" customWidth="1"/>
    <col min="2070" max="2070" width="11.625" style="3" customWidth="1"/>
    <col min="2071" max="2071" width="9.625" style="3" customWidth="1"/>
    <col min="2072" max="2072" width="0" style="3" hidden="1" customWidth="1"/>
    <col min="2073" max="2074" width="3.625" style="3" customWidth="1"/>
    <col min="2075" max="2075" width="5.625" style="3" customWidth="1"/>
    <col min="2076" max="2076" width="6.625" style="3" customWidth="1"/>
    <col min="2077" max="2304" width="9" style="3"/>
    <col min="2305" max="2305" width="3.625" style="3" customWidth="1"/>
    <col min="2306" max="2307" width="10.125" style="3" customWidth="1"/>
    <col min="2308" max="2308" width="5.625" style="3" customWidth="1"/>
    <col min="2309" max="2309" width="5.25" style="3" customWidth="1"/>
    <col min="2310" max="2310" width="8.125" style="3" customWidth="1"/>
    <col min="2311" max="2311" width="1.625" style="3" customWidth="1"/>
    <col min="2312" max="2312" width="4.625" style="3" customWidth="1"/>
    <col min="2313" max="2313" width="1.625" style="3" customWidth="1"/>
    <col min="2314" max="2314" width="4.625" style="3" customWidth="1"/>
    <col min="2315" max="2315" width="1.625" style="3" customWidth="1"/>
    <col min="2316" max="2316" width="8.625" style="3" customWidth="1"/>
    <col min="2317" max="2319" width="0" style="3" hidden="1" customWidth="1"/>
    <col min="2320" max="2320" width="10.25" style="3" customWidth="1"/>
    <col min="2321" max="2321" width="6.625" style="3" customWidth="1"/>
    <col min="2322" max="2322" width="9.625" style="3" customWidth="1"/>
    <col min="2323" max="2324" width="6.625" style="3" customWidth="1"/>
    <col min="2325" max="2325" width="7.125" style="3" customWidth="1"/>
    <col min="2326" max="2326" width="11.625" style="3" customWidth="1"/>
    <col min="2327" max="2327" width="9.625" style="3" customWidth="1"/>
    <col min="2328" max="2328" width="0" style="3" hidden="1" customWidth="1"/>
    <col min="2329" max="2330" width="3.625" style="3" customWidth="1"/>
    <col min="2331" max="2331" width="5.625" style="3" customWidth="1"/>
    <col min="2332" max="2332" width="6.625" style="3" customWidth="1"/>
    <col min="2333" max="2560" width="9" style="3"/>
    <col min="2561" max="2561" width="3.625" style="3" customWidth="1"/>
    <col min="2562" max="2563" width="10.125" style="3" customWidth="1"/>
    <col min="2564" max="2564" width="5.625" style="3" customWidth="1"/>
    <col min="2565" max="2565" width="5.25" style="3" customWidth="1"/>
    <col min="2566" max="2566" width="8.125" style="3" customWidth="1"/>
    <col min="2567" max="2567" width="1.625" style="3" customWidth="1"/>
    <col min="2568" max="2568" width="4.625" style="3" customWidth="1"/>
    <col min="2569" max="2569" width="1.625" style="3" customWidth="1"/>
    <col min="2570" max="2570" width="4.625" style="3" customWidth="1"/>
    <col min="2571" max="2571" width="1.625" style="3" customWidth="1"/>
    <col min="2572" max="2572" width="8.625" style="3" customWidth="1"/>
    <col min="2573" max="2575" width="0" style="3" hidden="1" customWidth="1"/>
    <col min="2576" max="2576" width="10.25" style="3" customWidth="1"/>
    <col min="2577" max="2577" width="6.625" style="3" customWidth="1"/>
    <col min="2578" max="2578" width="9.625" style="3" customWidth="1"/>
    <col min="2579" max="2580" width="6.625" style="3" customWidth="1"/>
    <col min="2581" max="2581" width="7.125" style="3" customWidth="1"/>
    <col min="2582" max="2582" width="11.625" style="3" customWidth="1"/>
    <col min="2583" max="2583" width="9.625" style="3" customWidth="1"/>
    <col min="2584" max="2584" width="0" style="3" hidden="1" customWidth="1"/>
    <col min="2585" max="2586" width="3.625" style="3" customWidth="1"/>
    <col min="2587" max="2587" width="5.625" style="3" customWidth="1"/>
    <col min="2588" max="2588" width="6.625" style="3" customWidth="1"/>
    <col min="2589" max="2816" width="9" style="3"/>
    <col min="2817" max="2817" width="3.625" style="3" customWidth="1"/>
    <col min="2818" max="2819" width="10.125" style="3" customWidth="1"/>
    <col min="2820" max="2820" width="5.625" style="3" customWidth="1"/>
    <col min="2821" max="2821" width="5.25" style="3" customWidth="1"/>
    <col min="2822" max="2822" width="8.125" style="3" customWidth="1"/>
    <col min="2823" max="2823" width="1.625" style="3" customWidth="1"/>
    <col min="2824" max="2824" width="4.625" style="3" customWidth="1"/>
    <col min="2825" max="2825" width="1.625" style="3" customWidth="1"/>
    <col min="2826" max="2826" width="4.625" style="3" customWidth="1"/>
    <col min="2827" max="2827" width="1.625" style="3" customWidth="1"/>
    <col min="2828" max="2828" width="8.625" style="3" customWidth="1"/>
    <col min="2829" max="2831" width="0" style="3" hidden="1" customWidth="1"/>
    <col min="2832" max="2832" width="10.25" style="3" customWidth="1"/>
    <col min="2833" max="2833" width="6.625" style="3" customWidth="1"/>
    <col min="2834" max="2834" width="9.625" style="3" customWidth="1"/>
    <col min="2835" max="2836" width="6.625" style="3" customWidth="1"/>
    <col min="2837" max="2837" width="7.125" style="3" customWidth="1"/>
    <col min="2838" max="2838" width="11.625" style="3" customWidth="1"/>
    <col min="2839" max="2839" width="9.625" style="3" customWidth="1"/>
    <col min="2840" max="2840" width="0" style="3" hidden="1" customWidth="1"/>
    <col min="2841" max="2842" width="3.625" style="3" customWidth="1"/>
    <col min="2843" max="2843" width="5.625" style="3" customWidth="1"/>
    <col min="2844" max="2844" width="6.625" style="3" customWidth="1"/>
    <col min="2845" max="3072" width="9" style="3"/>
    <col min="3073" max="3073" width="3.625" style="3" customWidth="1"/>
    <col min="3074" max="3075" width="10.125" style="3" customWidth="1"/>
    <col min="3076" max="3076" width="5.625" style="3" customWidth="1"/>
    <col min="3077" max="3077" width="5.25" style="3" customWidth="1"/>
    <col min="3078" max="3078" width="8.125" style="3" customWidth="1"/>
    <col min="3079" max="3079" width="1.625" style="3" customWidth="1"/>
    <col min="3080" max="3080" width="4.625" style="3" customWidth="1"/>
    <col min="3081" max="3081" width="1.625" style="3" customWidth="1"/>
    <col min="3082" max="3082" width="4.625" style="3" customWidth="1"/>
    <col min="3083" max="3083" width="1.625" style="3" customWidth="1"/>
    <col min="3084" max="3084" width="8.625" style="3" customWidth="1"/>
    <col min="3085" max="3087" width="0" style="3" hidden="1" customWidth="1"/>
    <col min="3088" max="3088" width="10.25" style="3" customWidth="1"/>
    <col min="3089" max="3089" width="6.625" style="3" customWidth="1"/>
    <col min="3090" max="3090" width="9.625" style="3" customWidth="1"/>
    <col min="3091" max="3092" width="6.625" style="3" customWidth="1"/>
    <col min="3093" max="3093" width="7.125" style="3" customWidth="1"/>
    <col min="3094" max="3094" width="11.625" style="3" customWidth="1"/>
    <col min="3095" max="3095" width="9.625" style="3" customWidth="1"/>
    <col min="3096" max="3096" width="0" style="3" hidden="1" customWidth="1"/>
    <col min="3097" max="3098" width="3.625" style="3" customWidth="1"/>
    <col min="3099" max="3099" width="5.625" style="3" customWidth="1"/>
    <col min="3100" max="3100" width="6.625" style="3" customWidth="1"/>
    <col min="3101" max="3328" width="9" style="3"/>
    <col min="3329" max="3329" width="3.625" style="3" customWidth="1"/>
    <col min="3330" max="3331" width="10.125" style="3" customWidth="1"/>
    <col min="3332" max="3332" width="5.625" style="3" customWidth="1"/>
    <col min="3333" max="3333" width="5.25" style="3" customWidth="1"/>
    <col min="3334" max="3334" width="8.125" style="3" customWidth="1"/>
    <col min="3335" max="3335" width="1.625" style="3" customWidth="1"/>
    <col min="3336" max="3336" width="4.625" style="3" customWidth="1"/>
    <col min="3337" max="3337" width="1.625" style="3" customWidth="1"/>
    <col min="3338" max="3338" width="4.625" style="3" customWidth="1"/>
    <col min="3339" max="3339" width="1.625" style="3" customWidth="1"/>
    <col min="3340" max="3340" width="8.625" style="3" customWidth="1"/>
    <col min="3341" max="3343" width="0" style="3" hidden="1" customWidth="1"/>
    <col min="3344" max="3344" width="10.25" style="3" customWidth="1"/>
    <col min="3345" max="3345" width="6.625" style="3" customWidth="1"/>
    <col min="3346" max="3346" width="9.625" style="3" customWidth="1"/>
    <col min="3347" max="3348" width="6.625" style="3" customWidth="1"/>
    <col min="3349" max="3349" width="7.125" style="3" customWidth="1"/>
    <col min="3350" max="3350" width="11.625" style="3" customWidth="1"/>
    <col min="3351" max="3351" width="9.625" style="3" customWidth="1"/>
    <col min="3352" max="3352" width="0" style="3" hidden="1" customWidth="1"/>
    <col min="3353" max="3354" width="3.625" style="3" customWidth="1"/>
    <col min="3355" max="3355" width="5.625" style="3" customWidth="1"/>
    <col min="3356" max="3356" width="6.625" style="3" customWidth="1"/>
    <col min="3357" max="3584" width="9" style="3"/>
    <col min="3585" max="3585" width="3.625" style="3" customWidth="1"/>
    <col min="3586" max="3587" width="10.125" style="3" customWidth="1"/>
    <col min="3588" max="3588" width="5.625" style="3" customWidth="1"/>
    <col min="3589" max="3589" width="5.25" style="3" customWidth="1"/>
    <col min="3590" max="3590" width="8.125" style="3" customWidth="1"/>
    <col min="3591" max="3591" width="1.625" style="3" customWidth="1"/>
    <col min="3592" max="3592" width="4.625" style="3" customWidth="1"/>
    <col min="3593" max="3593" width="1.625" style="3" customWidth="1"/>
    <col min="3594" max="3594" width="4.625" style="3" customWidth="1"/>
    <col min="3595" max="3595" width="1.625" style="3" customWidth="1"/>
    <col min="3596" max="3596" width="8.625" style="3" customWidth="1"/>
    <col min="3597" max="3599" width="0" style="3" hidden="1" customWidth="1"/>
    <col min="3600" max="3600" width="10.25" style="3" customWidth="1"/>
    <col min="3601" max="3601" width="6.625" style="3" customWidth="1"/>
    <col min="3602" max="3602" width="9.625" style="3" customWidth="1"/>
    <col min="3603" max="3604" width="6.625" style="3" customWidth="1"/>
    <col min="3605" max="3605" width="7.125" style="3" customWidth="1"/>
    <col min="3606" max="3606" width="11.625" style="3" customWidth="1"/>
    <col min="3607" max="3607" width="9.625" style="3" customWidth="1"/>
    <col min="3608" max="3608" width="0" style="3" hidden="1" customWidth="1"/>
    <col min="3609" max="3610" width="3.625" style="3" customWidth="1"/>
    <col min="3611" max="3611" width="5.625" style="3" customWidth="1"/>
    <col min="3612" max="3612" width="6.625" style="3" customWidth="1"/>
    <col min="3613" max="3840" width="9" style="3"/>
    <col min="3841" max="3841" width="3.625" style="3" customWidth="1"/>
    <col min="3842" max="3843" width="10.125" style="3" customWidth="1"/>
    <col min="3844" max="3844" width="5.625" style="3" customWidth="1"/>
    <col min="3845" max="3845" width="5.25" style="3" customWidth="1"/>
    <col min="3846" max="3846" width="8.125" style="3" customWidth="1"/>
    <col min="3847" max="3847" width="1.625" style="3" customWidth="1"/>
    <col min="3848" max="3848" width="4.625" style="3" customWidth="1"/>
    <col min="3849" max="3849" width="1.625" style="3" customWidth="1"/>
    <col min="3850" max="3850" width="4.625" style="3" customWidth="1"/>
    <col min="3851" max="3851" width="1.625" style="3" customWidth="1"/>
    <col min="3852" max="3852" width="8.625" style="3" customWidth="1"/>
    <col min="3853" max="3855" width="0" style="3" hidden="1" customWidth="1"/>
    <col min="3856" max="3856" width="10.25" style="3" customWidth="1"/>
    <col min="3857" max="3857" width="6.625" style="3" customWidth="1"/>
    <col min="3858" max="3858" width="9.625" style="3" customWidth="1"/>
    <col min="3859" max="3860" width="6.625" style="3" customWidth="1"/>
    <col min="3861" max="3861" width="7.125" style="3" customWidth="1"/>
    <col min="3862" max="3862" width="11.625" style="3" customWidth="1"/>
    <col min="3863" max="3863" width="9.625" style="3" customWidth="1"/>
    <col min="3864" max="3864" width="0" style="3" hidden="1" customWidth="1"/>
    <col min="3865" max="3866" width="3.625" style="3" customWidth="1"/>
    <col min="3867" max="3867" width="5.625" style="3" customWidth="1"/>
    <col min="3868" max="3868" width="6.625" style="3" customWidth="1"/>
    <col min="3869" max="4096" width="9" style="3"/>
    <col min="4097" max="4097" width="3.625" style="3" customWidth="1"/>
    <col min="4098" max="4099" width="10.125" style="3" customWidth="1"/>
    <col min="4100" max="4100" width="5.625" style="3" customWidth="1"/>
    <col min="4101" max="4101" width="5.25" style="3" customWidth="1"/>
    <col min="4102" max="4102" width="8.125" style="3" customWidth="1"/>
    <col min="4103" max="4103" width="1.625" style="3" customWidth="1"/>
    <col min="4104" max="4104" width="4.625" style="3" customWidth="1"/>
    <col min="4105" max="4105" width="1.625" style="3" customWidth="1"/>
    <col min="4106" max="4106" width="4.625" style="3" customWidth="1"/>
    <col min="4107" max="4107" width="1.625" style="3" customWidth="1"/>
    <col min="4108" max="4108" width="8.625" style="3" customWidth="1"/>
    <col min="4109" max="4111" width="0" style="3" hidden="1" customWidth="1"/>
    <col min="4112" max="4112" width="10.25" style="3" customWidth="1"/>
    <col min="4113" max="4113" width="6.625" style="3" customWidth="1"/>
    <col min="4114" max="4114" width="9.625" style="3" customWidth="1"/>
    <col min="4115" max="4116" width="6.625" style="3" customWidth="1"/>
    <col min="4117" max="4117" width="7.125" style="3" customWidth="1"/>
    <col min="4118" max="4118" width="11.625" style="3" customWidth="1"/>
    <col min="4119" max="4119" width="9.625" style="3" customWidth="1"/>
    <col min="4120" max="4120" width="0" style="3" hidden="1" customWidth="1"/>
    <col min="4121" max="4122" width="3.625" style="3" customWidth="1"/>
    <col min="4123" max="4123" width="5.625" style="3" customWidth="1"/>
    <col min="4124" max="4124" width="6.625" style="3" customWidth="1"/>
    <col min="4125" max="4352" width="9" style="3"/>
    <col min="4353" max="4353" width="3.625" style="3" customWidth="1"/>
    <col min="4354" max="4355" width="10.125" style="3" customWidth="1"/>
    <col min="4356" max="4356" width="5.625" style="3" customWidth="1"/>
    <col min="4357" max="4357" width="5.25" style="3" customWidth="1"/>
    <col min="4358" max="4358" width="8.125" style="3" customWidth="1"/>
    <col min="4359" max="4359" width="1.625" style="3" customWidth="1"/>
    <col min="4360" max="4360" width="4.625" style="3" customWidth="1"/>
    <col min="4361" max="4361" width="1.625" style="3" customWidth="1"/>
    <col min="4362" max="4362" width="4.625" style="3" customWidth="1"/>
    <col min="4363" max="4363" width="1.625" style="3" customWidth="1"/>
    <col min="4364" max="4364" width="8.625" style="3" customWidth="1"/>
    <col min="4365" max="4367" width="0" style="3" hidden="1" customWidth="1"/>
    <col min="4368" max="4368" width="10.25" style="3" customWidth="1"/>
    <col min="4369" max="4369" width="6.625" style="3" customWidth="1"/>
    <col min="4370" max="4370" width="9.625" style="3" customWidth="1"/>
    <col min="4371" max="4372" width="6.625" style="3" customWidth="1"/>
    <col min="4373" max="4373" width="7.125" style="3" customWidth="1"/>
    <col min="4374" max="4374" width="11.625" style="3" customWidth="1"/>
    <col min="4375" max="4375" width="9.625" style="3" customWidth="1"/>
    <col min="4376" max="4376" width="0" style="3" hidden="1" customWidth="1"/>
    <col min="4377" max="4378" width="3.625" style="3" customWidth="1"/>
    <col min="4379" max="4379" width="5.625" style="3" customWidth="1"/>
    <col min="4380" max="4380" width="6.625" style="3" customWidth="1"/>
    <col min="4381" max="4608" width="9" style="3"/>
    <col min="4609" max="4609" width="3.625" style="3" customWidth="1"/>
    <col min="4610" max="4611" width="10.125" style="3" customWidth="1"/>
    <col min="4612" max="4612" width="5.625" style="3" customWidth="1"/>
    <col min="4613" max="4613" width="5.25" style="3" customWidth="1"/>
    <col min="4614" max="4614" width="8.125" style="3" customWidth="1"/>
    <col min="4615" max="4615" width="1.625" style="3" customWidth="1"/>
    <col min="4616" max="4616" width="4.625" style="3" customWidth="1"/>
    <col min="4617" max="4617" width="1.625" style="3" customWidth="1"/>
    <col min="4618" max="4618" width="4.625" style="3" customWidth="1"/>
    <col min="4619" max="4619" width="1.625" style="3" customWidth="1"/>
    <col min="4620" max="4620" width="8.625" style="3" customWidth="1"/>
    <col min="4621" max="4623" width="0" style="3" hidden="1" customWidth="1"/>
    <col min="4624" max="4624" width="10.25" style="3" customWidth="1"/>
    <col min="4625" max="4625" width="6.625" style="3" customWidth="1"/>
    <col min="4626" max="4626" width="9.625" style="3" customWidth="1"/>
    <col min="4627" max="4628" width="6.625" style="3" customWidth="1"/>
    <col min="4629" max="4629" width="7.125" style="3" customWidth="1"/>
    <col min="4630" max="4630" width="11.625" style="3" customWidth="1"/>
    <col min="4631" max="4631" width="9.625" style="3" customWidth="1"/>
    <col min="4632" max="4632" width="0" style="3" hidden="1" customWidth="1"/>
    <col min="4633" max="4634" width="3.625" style="3" customWidth="1"/>
    <col min="4635" max="4635" width="5.625" style="3" customWidth="1"/>
    <col min="4636" max="4636" width="6.625" style="3" customWidth="1"/>
    <col min="4637" max="4864" width="9" style="3"/>
    <col min="4865" max="4865" width="3.625" style="3" customWidth="1"/>
    <col min="4866" max="4867" width="10.125" style="3" customWidth="1"/>
    <col min="4868" max="4868" width="5.625" style="3" customWidth="1"/>
    <col min="4869" max="4869" width="5.25" style="3" customWidth="1"/>
    <col min="4870" max="4870" width="8.125" style="3" customWidth="1"/>
    <col min="4871" max="4871" width="1.625" style="3" customWidth="1"/>
    <col min="4872" max="4872" width="4.625" style="3" customWidth="1"/>
    <col min="4873" max="4873" width="1.625" style="3" customWidth="1"/>
    <col min="4874" max="4874" width="4.625" style="3" customWidth="1"/>
    <col min="4875" max="4875" width="1.625" style="3" customWidth="1"/>
    <col min="4876" max="4876" width="8.625" style="3" customWidth="1"/>
    <col min="4877" max="4879" width="0" style="3" hidden="1" customWidth="1"/>
    <col min="4880" max="4880" width="10.25" style="3" customWidth="1"/>
    <col min="4881" max="4881" width="6.625" style="3" customWidth="1"/>
    <col min="4882" max="4882" width="9.625" style="3" customWidth="1"/>
    <col min="4883" max="4884" width="6.625" style="3" customWidth="1"/>
    <col min="4885" max="4885" width="7.125" style="3" customWidth="1"/>
    <col min="4886" max="4886" width="11.625" style="3" customWidth="1"/>
    <col min="4887" max="4887" width="9.625" style="3" customWidth="1"/>
    <col min="4888" max="4888" width="0" style="3" hidden="1" customWidth="1"/>
    <col min="4889" max="4890" width="3.625" style="3" customWidth="1"/>
    <col min="4891" max="4891" width="5.625" style="3" customWidth="1"/>
    <col min="4892" max="4892" width="6.625" style="3" customWidth="1"/>
    <col min="4893" max="5120" width="9" style="3"/>
    <col min="5121" max="5121" width="3.625" style="3" customWidth="1"/>
    <col min="5122" max="5123" width="10.125" style="3" customWidth="1"/>
    <col min="5124" max="5124" width="5.625" style="3" customWidth="1"/>
    <col min="5125" max="5125" width="5.25" style="3" customWidth="1"/>
    <col min="5126" max="5126" width="8.125" style="3" customWidth="1"/>
    <col min="5127" max="5127" width="1.625" style="3" customWidth="1"/>
    <col min="5128" max="5128" width="4.625" style="3" customWidth="1"/>
    <col min="5129" max="5129" width="1.625" style="3" customWidth="1"/>
    <col min="5130" max="5130" width="4.625" style="3" customWidth="1"/>
    <col min="5131" max="5131" width="1.625" style="3" customWidth="1"/>
    <col min="5132" max="5132" width="8.625" style="3" customWidth="1"/>
    <col min="5133" max="5135" width="0" style="3" hidden="1" customWidth="1"/>
    <col min="5136" max="5136" width="10.25" style="3" customWidth="1"/>
    <col min="5137" max="5137" width="6.625" style="3" customWidth="1"/>
    <col min="5138" max="5138" width="9.625" style="3" customWidth="1"/>
    <col min="5139" max="5140" width="6.625" style="3" customWidth="1"/>
    <col min="5141" max="5141" width="7.125" style="3" customWidth="1"/>
    <col min="5142" max="5142" width="11.625" style="3" customWidth="1"/>
    <col min="5143" max="5143" width="9.625" style="3" customWidth="1"/>
    <col min="5144" max="5144" width="0" style="3" hidden="1" customWidth="1"/>
    <col min="5145" max="5146" width="3.625" style="3" customWidth="1"/>
    <col min="5147" max="5147" width="5.625" style="3" customWidth="1"/>
    <col min="5148" max="5148" width="6.625" style="3" customWidth="1"/>
    <col min="5149" max="5376" width="9" style="3"/>
    <col min="5377" max="5377" width="3.625" style="3" customWidth="1"/>
    <col min="5378" max="5379" width="10.125" style="3" customWidth="1"/>
    <col min="5380" max="5380" width="5.625" style="3" customWidth="1"/>
    <col min="5381" max="5381" width="5.25" style="3" customWidth="1"/>
    <col min="5382" max="5382" width="8.125" style="3" customWidth="1"/>
    <col min="5383" max="5383" width="1.625" style="3" customWidth="1"/>
    <col min="5384" max="5384" width="4.625" style="3" customWidth="1"/>
    <col min="5385" max="5385" width="1.625" style="3" customWidth="1"/>
    <col min="5386" max="5386" width="4.625" style="3" customWidth="1"/>
    <col min="5387" max="5387" width="1.625" style="3" customWidth="1"/>
    <col min="5388" max="5388" width="8.625" style="3" customWidth="1"/>
    <col min="5389" max="5391" width="0" style="3" hidden="1" customWidth="1"/>
    <col min="5392" max="5392" width="10.25" style="3" customWidth="1"/>
    <col min="5393" max="5393" width="6.625" style="3" customWidth="1"/>
    <col min="5394" max="5394" width="9.625" style="3" customWidth="1"/>
    <col min="5395" max="5396" width="6.625" style="3" customWidth="1"/>
    <col min="5397" max="5397" width="7.125" style="3" customWidth="1"/>
    <col min="5398" max="5398" width="11.625" style="3" customWidth="1"/>
    <col min="5399" max="5399" width="9.625" style="3" customWidth="1"/>
    <col min="5400" max="5400" width="0" style="3" hidden="1" customWidth="1"/>
    <col min="5401" max="5402" width="3.625" style="3" customWidth="1"/>
    <col min="5403" max="5403" width="5.625" style="3" customWidth="1"/>
    <col min="5404" max="5404" width="6.625" style="3" customWidth="1"/>
    <col min="5405" max="5632" width="9" style="3"/>
    <col min="5633" max="5633" width="3.625" style="3" customWidth="1"/>
    <col min="5634" max="5635" width="10.125" style="3" customWidth="1"/>
    <col min="5636" max="5636" width="5.625" style="3" customWidth="1"/>
    <col min="5637" max="5637" width="5.25" style="3" customWidth="1"/>
    <col min="5638" max="5638" width="8.125" style="3" customWidth="1"/>
    <col min="5639" max="5639" width="1.625" style="3" customWidth="1"/>
    <col min="5640" max="5640" width="4.625" style="3" customWidth="1"/>
    <col min="5641" max="5641" width="1.625" style="3" customWidth="1"/>
    <col min="5642" max="5642" width="4.625" style="3" customWidth="1"/>
    <col min="5643" max="5643" width="1.625" style="3" customWidth="1"/>
    <col min="5644" max="5644" width="8.625" style="3" customWidth="1"/>
    <col min="5645" max="5647" width="0" style="3" hidden="1" customWidth="1"/>
    <col min="5648" max="5648" width="10.25" style="3" customWidth="1"/>
    <col min="5649" max="5649" width="6.625" style="3" customWidth="1"/>
    <col min="5650" max="5650" width="9.625" style="3" customWidth="1"/>
    <col min="5651" max="5652" width="6.625" style="3" customWidth="1"/>
    <col min="5653" max="5653" width="7.125" style="3" customWidth="1"/>
    <col min="5654" max="5654" width="11.625" style="3" customWidth="1"/>
    <col min="5655" max="5655" width="9.625" style="3" customWidth="1"/>
    <col min="5656" max="5656" width="0" style="3" hidden="1" customWidth="1"/>
    <col min="5657" max="5658" width="3.625" style="3" customWidth="1"/>
    <col min="5659" max="5659" width="5.625" style="3" customWidth="1"/>
    <col min="5660" max="5660" width="6.625" style="3" customWidth="1"/>
    <col min="5661" max="5888" width="9" style="3"/>
    <col min="5889" max="5889" width="3.625" style="3" customWidth="1"/>
    <col min="5890" max="5891" width="10.125" style="3" customWidth="1"/>
    <col min="5892" max="5892" width="5.625" style="3" customWidth="1"/>
    <col min="5893" max="5893" width="5.25" style="3" customWidth="1"/>
    <col min="5894" max="5894" width="8.125" style="3" customWidth="1"/>
    <col min="5895" max="5895" width="1.625" style="3" customWidth="1"/>
    <col min="5896" max="5896" width="4.625" style="3" customWidth="1"/>
    <col min="5897" max="5897" width="1.625" style="3" customWidth="1"/>
    <col min="5898" max="5898" width="4.625" style="3" customWidth="1"/>
    <col min="5899" max="5899" width="1.625" style="3" customWidth="1"/>
    <col min="5900" max="5900" width="8.625" style="3" customWidth="1"/>
    <col min="5901" max="5903" width="0" style="3" hidden="1" customWidth="1"/>
    <col min="5904" max="5904" width="10.25" style="3" customWidth="1"/>
    <col min="5905" max="5905" width="6.625" style="3" customWidth="1"/>
    <col min="5906" max="5906" width="9.625" style="3" customWidth="1"/>
    <col min="5907" max="5908" width="6.625" style="3" customWidth="1"/>
    <col min="5909" max="5909" width="7.125" style="3" customWidth="1"/>
    <col min="5910" max="5910" width="11.625" style="3" customWidth="1"/>
    <col min="5911" max="5911" width="9.625" style="3" customWidth="1"/>
    <col min="5912" max="5912" width="0" style="3" hidden="1" customWidth="1"/>
    <col min="5913" max="5914" width="3.625" style="3" customWidth="1"/>
    <col min="5915" max="5915" width="5.625" style="3" customWidth="1"/>
    <col min="5916" max="5916" width="6.625" style="3" customWidth="1"/>
    <col min="5917" max="6144" width="9" style="3"/>
    <col min="6145" max="6145" width="3.625" style="3" customWidth="1"/>
    <col min="6146" max="6147" width="10.125" style="3" customWidth="1"/>
    <col min="6148" max="6148" width="5.625" style="3" customWidth="1"/>
    <col min="6149" max="6149" width="5.25" style="3" customWidth="1"/>
    <col min="6150" max="6150" width="8.125" style="3" customWidth="1"/>
    <col min="6151" max="6151" width="1.625" style="3" customWidth="1"/>
    <col min="6152" max="6152" width="4.625" style="3" customWidth="1"/>
    <col min="6153" max="6153" width="1.625" style="3" customWidth="1"/>
    <col min="6154" max="6154" width="4.625" style="3" customWidth="1"/>
    <col min="6155" max="6155" width="1.625" style="3" customWidth="1"/>
    <col min="6156" max="6156" width="8.625" style="3" customWidth="1"/>
    <col min="6157" max="6159" width="0" style="3" hidden="1" customWidth="1"/>
    <col min="6160" max="6160" width="10.25" style="3" customWidth="1"/>
    <col min="6161" max="6161" width="6.625" style="3" customWidth="1"/>
    <col min="6162" max="6162" width="9.625" style="3" customWidth="1"/>
    <col min="6163" max="6164" width="6.625" style="3" customWidth="1"/>
    <col min="6165" max="6165" width="7.125" style="3" customWidth="1"/>
    <col min="6166" max="6166" width="11.625" style="3" customWidth="1"/>
    <col min="6167" max="6167" width="9.625" style="3" customWidth="1"/>
    <col min="6168" max="6168" width="0" style="3" hidden="1" customWidth="1"/>
    <col min="6169" max="6170" width="3.625" style="3" customWidth="1"/>
    <col min="6171" max="6171" width="5.625" style="3" customWidth="1"/>
    <col min="6172" max="6172" width="6.625" style="3" customWidth="1"/>
    <col min="6173" max="6400" width="9" style="3"/>
    <col min="6401" max="6401" width="3.625" style="3" customWidth="1"/>
    <col min="6402" max="6403" width="10.125" style="3" customWidth="1"/>
    <col min="6404" max="6404" width="5.625" style="3" customWidth="1"/>
    <col min="6405" max="6405" width="5.25" style="3" customWidth="1"/>
    <col min="6406" max="6406" width="8.125" style="3" customWidth="1"/>
    <col min="6407" max="6407" width="1.625" style="3" customWidth="1"/>
    <col min="6408" max="6408" width="4.625" style="3" customWidth="1"/>
    <col min="6409" max="6409" width="1.625" style="3" customWidth="1"/>
    <col min="6410" max="6410" width="4.625" style="3" customWidth="1"/>
    <col min="6411" max="6411" width="1.625" style="3" customWidth="1"/>
    <col min="6412" max="6412" width="8.625" style="3" customWidth="1"/>
    <col min="6413" max="6415" width="0" style="3" hidden="1" customWidth="1"/>
    <col min="6416" max="6416" width="10.25" style="3" customWidth="1"/>
    <col min="6417" max="6417" width="6.625" style="3" customWidth="1"/>
    <col min="6418" max="6418" width="9.625" style="3" customWidth="1"/>
    <col min="6419" max="6420" width="6.625" style="3" customWidth="1"/>
    <col min="6421" max="6421" width="7.125" style="3" customWidth="1"/>
    <col min="6422" max="6422" width="11.625" style="3" customWidth="1"/>
    <col min="6423" max="6423" width="9.625" style="3" customWidth="1"/>
    <col min="6424" max="6424" width="0" style="3" hidden="1" customWidth="1"/>
    <col min="6425" max="6426" width="3.625" style="3" customWidth="1"/>
    <col min="6427" max="6427" width="5.625" style="3" customWidth="1"/>
    <col min="6428" max="6428" width="6.625" style="3" customWidth="1"/>
    <col min="6429" max="6656" width="9" style="3"/>
    <col min="6657" max="6657" width="3.625" style="3" customWidth="1"/>
    <col min="6658" max="6659" width="10.125" style="3" customWidth="1"/>
    <col min="6660" max="6660" width="5.625" style="3" customWidth="1"/>
    <col min="6661" max="6661" width="5.25" style="3" customWidth="1"/>
    <col min="6662" max="6662" width="8.125" style="3" customWidth="1"/>
    <col min="6663" max="6663" width="1.625" style="3" customWidth="1"/>
    <col min="6664" max="6664" width="4.625" style="3" customWidth="1"/>
    <col min="6665" max="6665" width="1.625" style="3" customWidth="1"/>
    <col min="6666" max="6666" width="4.625" style="3" customWidth="1"/>
    <col min="6667" max="6667" width="1.625" style="3" customWidth="1"/>
    <col min="6668" max="6668" width="8.625" style="3" customWidth="1"/>
    <col min="6669" max="6671" width="0" style="3" hidden="1" customWidth="1"/>
    <col min="6672" max="6672" width="10.25" style="3" customWidth="1"/>
    <col min="6673" max="6673" width="6.625" style="3" customWidth="1"/>
    <col min="6674" max="6674" width="9.625" style="3" customWidth="1"/>
    <col min="6675" max="6676" width="6.625" style="3" customWidth="1"/>
    <col min="6677" max="6677" width="7.125" style="3" customWidth="1"/>
    <col min="6678" max="6678" width="11.625" style="3" customWidth="1"/>
    <col min="6679" max="6679" width="9.625" style="3" customWidth="1"/>
    <col min="6680" max="6680" width="0" style="3" hidden="1" customWidth="1"/>
    <col min="6681" max="6682" width="3.625" style="3" customWidth="1"/>
    <col min="6683" max="6683" width="5.625" style="3" customWidth="1"/>
    <col min="6684" max="6684" width="6.625" style="3" customWidth="1"/>
    <col min="6685" max="6912" width="9" style="3"/>
    <col min="6913" max="6913" width="3.625" style="3" customWidth="1"/>
    <col min="6914" max="6915" width="10.125" style="3" customWidth="1"/>
    <col min="6916" max="6916" width="5.625" style="3" customWidth="1"/>
    <col min="6917" max="6917" width="5.25" style="3" customWidth="1"/>
    <col min="6918" max="6918" width="8.125" style="3" customWidth="1"/>
    <col min="6919" max="6919" width="1.625" style="3" customWidth="1"/>
    <col min="6920" max="6920" width="4.625" style="3" customWidth="1"/>
    <col min="6921" max="6921" width="1.625" style="3" customWidth="1"/>
    <col min="6922" max="6922" width="4.625" style="3" customWidth="1"/>
    <col min="6923" max="6923" width="1.625" style="3" customWidth="1"/>
    <col min="6924" max="6924" width="8.625" style="3" customWidth="1"/>
    <col min="6925" max="6927" width="0" style="3" hidden="1" customWidth="1"/>
    <col min="6928" max="6928" width="10.25" style="3" customWidth="1"/>
    <col min="6929" max="6929" width="6.625" style="3" customWidth="1"/>
    <col min="6930" max="6930" width="9.625" style="3" customWidth="1"/>
    <col min="6931" max="6932" width="6.625" style="3" customWidth="1"/>
    <col min="6933" max="6933" width="7.125" style="3" customWidth="1"/>
    <col min="6934" max="6934" width="11.625" style="3" customWidth="1"/>
    <col min="6935" max="6935" width="9.625" style="3" customWidth="1"/>
    <col min="6936" max="6936" width="0" style="3" hidden="1" customWidth="1"/>
    <col min="6937" max="6938" width="3.625" style="3" customWidth="1"/>
    <col min="6939" max="6939" width="5.625" style="3" customWidth="1"/>
    <col min="6940" max="6940" width="6.625" style="3" customWidth="1"/>
    <col min="6941" max="7168" width="9" style="3"/>
    <col min="7169" max="7169" width="3.625" style="3" customWidth="1"/>
    <col min="7170" max="7171" width="10.125" style="3" customWidth="1"/>
    <col min="7172" max="7172" width="5.625" style="3" customWidth="1"/>
    <col min="7173" max="7173" width="5.25" style="3" customWidth="1"/>
    <col min="7174" max="7174" width="8.125" style="3" customWidth="1"/>
    <col min="7175" max="7175" width="1.625" style="3" customWidth="1"/>
    <col min="7176" max="7176" width="4.625" style="3" customWidth="1"/>
    <col min="7177" max="7177" width="1.625" style="3" customWidth="1"/>
    <col min="7178" max="7178" width="4.625" style="3" customWidth="1"/>
    <col min="7179" max="7179" width="1.625" style="3" customWidth="1"/>
    <col min="7180" max="7180" width="8.625" style="3" customWidth="1"/>
    <col min="7181" max="7183" width="0" style="3" hidden="1" customWidth="1"/>
    <col min="7184" max="7184" width="10.25" style="3" customWidth="1"/>
    <col min="7185" max="7185" width="6.625" style="3" customWidth="1"/>
    <col min="7186" max="7186" width="9.625" style="3" customWidth="1"/>
    <col min="7187" max="7188" width="6.625" style="3" customWidth="1"/>
    <col min="7189" max="7189" width="7.125" style="3" customWidth="1"/>
    <col min="7190" max="7190" width="11.625" style="3" customWidth="1"/>
    <col min="7191" max="7191" width="9.625" style="3" customWidth="1"/>
    <col min="7192" max="7192" width="0" style="3" hidden="1" customWidth="1"/>
    <col min="7193" max="7194" width="3.625" style="3" customWidth="1"/>
    <col min="7195" max="7195" width="5.625" style="3" customWidth="1"/>
    <col min="7196" max="7196" width="6.625" style="3" customWidth="1"/>
    <col min="7197" max="7424" width="9" style="3"/>
    <col min="7425" max="7425" width="3.625" style="3" customWidth="1"/>
    <col min="7426" max="7427" width="10.125" style="3" customWidth="1"/>
    <col min="7428" max="7428" width="5.625" style="3" customWidth="1"/>
    <col min="7429" max="7429" width="5.25" style="3" customWidth="1"/>
    <col min="7430" max="7430" width="8.125" style="3" customWidth="1"/>
    <col min="7431" max="7431" width="1.625" style="3" customWidth="1"/>
    <col min="7432" max="7432" width="4.625" style="3" customWidth="1"/>
    <col min="7433" max="7433" width="1.625" style="3" customWidth="1"/>
    <col min="7434" max="7434" width="4.625" style="3" customWidth="1"/>
    <col min="7435" max="7435" width="1.625" style="3" customWidth="1"/>
    <col min="7436" max="7436" width="8.625" style="3" customWidth="1"/>
    <col min="7437" max="7439" width="0" style="3" hidden="1" customWidth="1"/>
    <col min="7440" max="7440" width="10.25" style="3" customWidth="1"/>
    <col min="7441" max="7441" width="6.625" style="3" customWidth="1"/>
    <col min="7442" max="7442" width="9.625" style="3" customWidth="1"/>
    <col min="7443" max="7444" width="6.625" style="3" customWidth="1"/>
    <col min="7445" max="7445" width="7.125" style="3" customWidth="1"/>
    <col min="7446" max="7446" width="11.625" style="3" customWidth="1"/>
    <col min="7447" max="7447" width="9.625" style="3" customWidth="1"/>
    <col min="7448" max="7448" width="0" style="3" hidden="1" customWidth="1"/>
    <col min="7449" max="7450" width="3.625" style="3" customWidth="1"/>
    <col min="7451" max="7451" width="5.625" style="3" customWidth="1"/>
    <col min="7452" max="7452" width="6.625" style="3" customWidth="1"/>
    <col min="7453" max="7680" width="9" style="3"/>
    <col min="7681" max="7681" width="3.625" style="3" customWidth="1"/>
    <col min="7682" max="7683" width="10.125" style="3" customWidth="1"/>
    <col min="7684" max="7684" width="5.625" style="3" customWidth="1"/>
    <col min="7685" max="7685" width="5.25" style="3" customWidth="1"/>
    <col min="7686" max="7686" width="8.125" style="3" customWidth="1"/>
    <col min="7687" max="7687" width="1.625" style="3" customWidth="1"/>
    <col min="7688" max="7688" width="4.625" style="3" customWidth="1"/>
    <col min="7689" max="7689" width="1.625" style="3" customWidth="1"/>
    <col min="7690" max="7690" width="4.625" style="3" customWidth="1"/>
    <col min="7691" max="7691" width="1.625" style="3" customWidth="1"/>
    <col min="7692" max="7692" width="8.625" style="3" customWidth="1"/>
    <col min="7693" max="7695" width="0" style="3" hidden="1" customWidth="1"/>
    <col min="7696" max="7696" width="10.25" style="3" customWidth="1"/>
    <col min="7697" max="7697" width="6.625" style="3" customWidth="1"/>
    <col min="7698" max="7698" width="9.625" style="3" customWidth="1"/>
    <col min="7699" max="7700" width="6.625" style="3" customWidth="1"/>
    <col min="7701" max="7701" width="7.125" style="3" customWidth="1"/>
    <col min="7702" max="7702" width="11.625" style="3" customWidth="1"/>
    <col min="7703" max="7703" width="9.625" style="3" customWidth="1"/>
    <col min="7704" max="7704" width="0" style="3" hidden="1" customWidth="1"/>
    <col min="7705" max="7706" width="3.625" style="3" customWidth="1"/>
    <col min="7707" max="7707" width="5.625" style="3" customWidth="1"/>
    <col min="7708" max="7708" width="6.625" style="3" customWidth="1"/>
    <col min="7709" max="7936" width="9" style="3"/>
    <col min="7937" max="7937" width="3.625" style="3" customWidth="1"/>
    <col min="7938" max="7939" width="10.125" style="3" customWidth="1"/>
    <col min="7940" max="7940" width="5.625" style="3" customWidth="1"/>
    <col min="7941" max="7941" width="5.25" style="3" customWidth="1"/>
    <col min="7942" max="7942" width="8.125" style="3" customWidth="1"/>
    <col min="7943" max="7943" width="1.625" style="3" customWidth="1"/>
    <col min="7944" max="7944" width="4.625" style="3" customWidth="1"/>
    <col min="7945" max="7945" width="1.625" style="3" customWidth="1"/>
    <col min="7946" max="7946" width="4.625" style="3" customWidth="1"/>
    <col min="7947" max="7947" width="1.625" style="3" customWidth="1"/>
    <col min="7948" max="7948" width="8.625" style="3" customWidth="1"/>
    <col min="7949" max="7951" width="0" style="3" hidden="1" customWidth="1"/>
    <col min="7952" max="7952" width="10.25" style="3" customWidth="1"/>
    <col min="7953" max="7953" width="6.625" style="3" customWidth="1"/>
    <col min="7954" max="7954" width="9.625" style="3" customWidth="1"/>
    <col min="7955" max="7956" width="6.625" style="3" customWidth="1"/>
    <col min="7957" max="7957" width="7.125" style="3" customWidth="1"/>
    <col min="7958" max="7958" width="11.625" style="3" customWidth="1"/>
    <col min="7959" max="7959" width="9.625" style="3" customWidth="1"/>
    <col min="7960" max="7960" width="0" style="3" hidden="1" customWidth="1"/>
    <col min="7961" max="7962" width="3.625" style="3" customWidth="1"/>
    <col min="7963" max="7963" width="5.625" style="3" customWidth="1"/>
    <col min="7964" max="7964" width="6.625" style="3" customWidth="1"/>
    <col min="7965" max="8192" width="9" style="3"/>
    <col min="8193" max="8193" width="3.625" style="3" customWidth="1"/>
    <col min="8194" max="8195" width="10.125" style="3" customWidth="1"/>
    <col min="8196" max="8196" width="5.625" style="3" customWidth="1"/>
    <col min="8197" max="8197" width="5.25" style="3" customWidth="1"/>
    <col min="8198" max="8198" width="8.125" style="3" customWidth="1"/>
    <col min="8199" max="8199" width="1.625" style="3" customWidth="1"/>
    <col min="8200" max="8200" width="4.625" style="3" customWidth="1"/>
    <col min="8201" max="8201" width="1.625" style="3" customWidth="1"/>
    <col min="8202" max="8202" width="4.625" style="3" customWidth="1"/>
    <col min="8203" max="8203" width="1.625" style="3" customWidth="1"/>
    <col min="8204" max="8204" width="8.625" style="3" customWidth="1"/>
    <col min="8205" max="8207" width="0" style="3" hidden="1" customWidth="1"/>
    <col min="8208" max="8208" width="10.25" style="3" customWidth="1"/>
    <col min="8209" max="8209" width="6.625" style="3" customWidth="1"/>
    <col min="8210" max="8210" width="9.625" style="3" customWidth="1"/>
    <col min="8211" max="8212" width="6.625" style="3" customWidth="1"/>
    <col min="8213" max="8213" width="7.125" style="3" customWidth="1"/>
    <col min="8214" max="8214" width="11.625" style="3" customWidth="1"/>
    <col min="8215" max="8215" width="9.625" style="3" customWidth="1"/>
    <col min="8216" max="8216" width="0" style="3" hidden="1" customWidth="1"/>
    <col min="8217" max="8218" width="3.625" style="3" customWidth="1"/>
    <col min="8219" max="8219" width="5.625" style="3" customWidth="1"/>
    <col min="8220" max="8220" width="6.625" style="3" customWidth="1"/>
    <col min="8221" max="8448" width="9" style="3"/>
    <col min="8449" max="8449" width="3.625" style="3" customWidth="1"/>
    <col min="8450" max="8451" width="10.125" style="3" customWidth="1"/>
    <col min="8452" max="8452" width="5.625" style="3" customWidth="1"/>
    <col min="8453" max="8453" width="5.25" style="3" customWidth="1"/>
    <col min="8454" max="8454" width="8.125" style="3" customWidth="1"/>
    <col min="8455" max="8455" width="1.625" style="3" customWidth="1"/>
    <col min="8456" max="8456" width="4.625" style="3" customWidth="1"/>
    <col min="8457" max="8457" width="1.625" style="3" customWidth="1"/>
    <col min="8458" max="8458" width="4.625" style="3" customWidth="1"/>
    <col min="8459" max="8459" width="1.625" style="3" customWidth="1"/>
    <col min="8460" max="8460" width="8.625" style="3" customWidth="1"/>
    <col min="8461" max="8463" width="0" style="3" hidden="1" customWidth="1"/>
    <col min="8464" max="8464" width="10.25" style="3" customWidth="1"/>
    <col min="8465" max="8465" width="6.625" style="3" customWidth="1"/>
    <col min="8466" max="8466" width="9.625" style="3" customWidth="1"/>
    <col min="8467" max="8468" width="6.625" style="3" customWidth="1"/>
    <col min="8469" max="8469" width="7.125" style="3" customWidth="1"/>
    <col min="8470" max="8470" width="11.625" style="3" customWidth="1"/>
    <col min="8471" max="8471" width="9.625" style="3" customWidth="1"/>
    <col min="8472" max="8472" width="0" style="3" hidden="1" customWidth="1"/>
    <col min="8473" max="8474" width="3.625" style="3" customWidth="1"/>
    <col min="8475" max="8475" width="5.625" style="3" customWidth="1"/>
    <col min="8476" max="8476" width="6.625" style="3" customWidth="1"/>
    <col min="8477" max="8704" width="9" style="3"/>
    <col min="8705" max="8705" width="3.625" style="3" customWidth="1"/>
    <col min="8706" max="8707" width="10.125" style="3" customWidth="1"/>
    <col min="8708" max="8708" width="5.625" style="3" customWidth="1"/>
    <col min="8709" max="8709" width="5.25" style="3" customWidth="1"/>
    <col min="8710" max="8710" width="8.125" style="3" customWidth="1"/>
    <col min="8711" max="8711" width="1.625" style="3" customWidth="1"/>
    <col min="8712" max="8712" width="4.625" style="3" customWidth="1"/>
    <col min="8713" max="8713" width="1.625" style="3" customWidth="1"/>
    <col min="8714" max="8714" width="4.625" style="3" customWidth="1"/>
    <col min="8715" max="8715" width="1.625" style="3" customWidth="1"/>
    <col min="8716" max="8716" width="8.625" style="3" customWidth="1"/>
    <col min="8717" max="8719" width="0" style="3" hidden="1" customWidth="1"/>
    <col min="8720" max="8720" width="10.25" style="3" customWidth="1"/>
    <col min="8721" max="8721" width="6.625" style="3" customWidth="1"/>
    <col min="8722" max="8722" width="9.625" style="3" customWidth="1"/>
    <col min="8723" max="8724" width="6.625" style="3" customWidth="1"/>
    <col min="8725" max="8725" width="7.125" style="3" customWidth="1"/>
    <col min="8726" max="8726" width="11.625" style="3" customWidth="1"/>
    <col min="8727" max="8727" width="9.625" style="3" customWidth="1"/>
    <col min="8728" max="8728" width="0" style="3" hidden="1" customWidth="1"/>
    <col min="8729" max="8730" width="3.625" style="3" customWidth="1"/>
    <col min="8731" max="8731" width="5.625" style="3" customWidth="1"/>
    <col min="8732" max="8732" width="6.625" style="3" customWidth="1"/>
    <col min="8733" max="8960" width="9" style="3"/>
    <col min="8961" max="8961" width="3.625" style="3" customWidth="1"/>
    <col min="8962" max="8963" width="10.125" style="3" customWidth="1"/>
    <col min="8964" max="8964" width="5.625" style="3" customWidth="1"/>
    <col min="8965" max="8965" width="5.25" style="3" customWidth="1"/>
    <col min="8966" max="8966" width="8.125" style="3" customWidth="1"/>
    <col min="8967" max="8967" width="1.625" style="3" customWidth="1"/>
    <col min="8968" max="8968" width="4.625" style="3" customWidth="1"/>
    <col min="8969" max="8969" width="1.625" style="3" customWidth="1"/>
    <col min="8970" max="8970" width="4.625" style="3" customWidth="1"/>
    <col min="8971" max="8971" width="1.625" style="3" customWidth="1"/>
    <col min="8972" max="8972" width="8.625" style="3" customWidth="1"/>
    <col min="8973" max="8975" width="0" style="3" hidden="1" customWidth="1"/>
    <col min="8976" max="8976" width="10.25" style="3" customWidth="1"/>
    <col min="8977" max="8977" width="6.625" style="3" customWidth="1"/>
    <col min="8978" max="8978" width="9.625" style="3" customWidth="1"/>
    <col min="8979" max="8980" width="6.625" style="3" customWidth="1"/>
    <col min="8981" max="8981" width="7.125" style="3" customWidth="1"/>
    <col min="8982" max="8982" width="11.625" style="3" customWidth="1"/>
    <col min="8983" max="8983" width="9.625" style="3" customWidth="1"/>
    <col min="8984" max="8984" width="0" style="3" hidden="1" customWidth="1"/>
    <col min="8985" max="8986" width="3.625" style="3" customWidth="1"/>
    <col min="8987" max="8987" width="5.625" style="3" customWidth="1"/>
    <col min="8988" max="8988" width="6.625" style="3" customWidth="1"/>
    <col min="8989" max="9216" width="9" style="3"/>
    <col min="9217" max="9217" width="3.625" style="3" customWidth="1"/>
    <col min="9218" max="9219" width="10.125" style="3" customWidth="1"/>
    <col min="9220" max="9220" width="5.625" style="3" customWidth="1"/>
    <col min="9221" max="9221" width="5.25" style="3" customWidth="1"/>
    <col min="9222" max="9222" width="8.125" style="3" customWidth="1"/>
    <col min="9223" max="9223" width="1.625" style="3" customWidth="1"/>
    <col min="9224" max="9224" width="4.625" style="3" customWidth="1"/>
    <col min="9225" max="9225" width="1.625" style="3" customWidth="1"/>
    <col min="9226" max="9226" width="4.625" style="3" customWidth="1"/>
    <col min="9227" max="9227" width="1.625" style="3" customWidth="1"/>
    <col min="9228" max="9228" width="8.625" style="3" customWidth="1"/>
    <col min="9229" max="9231" width="0" style="3" hidden="1" customWidth="1"/>
    <col min="9232" max="9232" width="10.25" style="3" customWidth="1"/>
    <col min="9233" max="9233" width="6.625" style="3" customWidth="1"/>
    <col min="9234" max="9234" width="9.625" style="3" customWidth="1"/>
    <col min="9235" max="9236" width="6.625" style="3" customWidth="1"/>
    <col min="9237" max="9237" width="7.125" style="3" customWidth="1"/>
    <col min="9238" max="9238" width="11.625" style="3" customWidth="1"/>
    <col min="9239" max="9239" width="9.625" style="3" customWidth="1"/>
    <col min="9240" max="9240" width="0" style="3" hidden="1" customWidth="1"/>
    <col min="9241" max="9242" width="3.625" style="3" customWidth="1"/>
    <col min="9243" max="9243" width="5.625" style="3" customWidth="1"/>
    <col min="9244" max="9244" width="6.625" style="3" customWidth="1"/>
    <col min="9245" max="9472" width="9" style="3"/>
    <col min="9473" max="9473" width="3.625" style="3" customWidth="1"/>
    <col min="9474" max="9475" width="10.125" style="3" customWidth="1"/>
    <col min="9476" max="9476" width="5.625" style="3" customWidth="1"/>
    <col min="9477" max="9477" width="5.25" style="3" customWidth="1"/>
    <col min="9478" max="9478" width="8.125" style="3" customWidth="1"/>
    <col min="9479" max="9479" width="1.625" style="3" customWidth="1"/>
    <col min="9480" max="9480" width="4.625" style="3" customWidth="1"/>
    <col min="9481" max="9481" width="1.625" style="3" customWidth="1"/>
    <col min="9482" max="9482" width="4.625" style="3" customWidth="1"/>
    <col min="9483" max="9483" width="1.625" style="3" customWidth="1"/>
    <col min="9484" max="9484" width="8.625" style="3" customWidth="1"/>
    <col min="9485" max="9487" width="0" style="3" hidden="1" customWidth="1"/>
    <col min="9488" max="9488" width="10.25" style="3" customWidth="1"/>
    <col min="9489" max="9489" width="6.625" style="3" customWidth="1"/>
    <col min="9490" max="9490" width="9.625" style="3" customWidth="1"/>
    <col min="9491" max="9492" width="6.625" style="3" customWidth="1"/>
    <col min="9493" max="9493" width="7.125" style="3" customWidth="1"/>
    <col min="9494" max="9494" width="11.625" style="3" customWidth="1"/>
    <col min="9495" max="9495" width="9.625" style="3" customWidth="1"/>
    <col min="9496" max="9496" width="0" style="3" hidden="1" customWidth="1"/>
    <col min="9497" max="9498" width="3.625" style="3" customWidth="1"/>
    <col min="9499" max="9499" width="5.625" style="3" customWidth="1"/>
    <col min="9500" max="9500" width="6.625" style="3" customWidth="1"/>
    <col min="9501" max="9728" width="9" style="3"/>
    <col min="9729" max="9729" width="3.625" style="3" customWidth="1"/>
    <col min="9730" max="9731" width="10.125" style="3" customWidth="1"/>
    <col min="9732" max="9732" width="5.625" style="3" customWidth="1"/>
    <col min="9733" max="9733" width="5.25" style="3" customWidth="1"/>
    <col min="9734" max="9734" width="8.125" style="3" customWidth="1"/>
    <col min="9735" max="9735" width="1.625" style="3" customWidth="1"/>
    <col min="9736" max="9736" width="4.625" style="3" customWidth="1"/>
    <col min="9737" max="9737" width="1.625" style="3" customWidth="1"/>
    <col min="9738" max="9738" width="4.625" style="3" customWidth="1"/>
    <col min="9739" max="9739" width="1.625" style="3" customWidth="1"/>
    <col min="9740" max="9740" width="8.625" style="3" customWidth="1"/>
    <col min="9741" max="9743" width="0" style="3" hidden="1" customWidth="1"/>
    <col min="9744" max="9744" width="10.25" style="3" customWidth="1"/>
    <col min="9745" max="9745" width="6.625" style="3" customWidth="1"/>
    <col min="9746" max="9746" width="9.625" style="3" customWidth="1"/>
    <col min="9747" max="9748" width="6.625" style="3" customWidth="1"/>
    <col min="9749" max="9749" width="7.125" style="3" customWidth="1"/>
    <col min="9750" max="9750" width="11.625" style="3" customWidth="1"/>
    <col min="9751" max="9751" width="9.625" style="3" customWidth="1"/>
    <col min="9752" max="9752" width="0" style="3" hidden="1" customWidth="1"/>
    <col min="9753" max="9754" width="3.625" style="3" customWidth="1"/>
    <col min="9755" max="9755" width="5.625" style="3" customWidth="1"/>
    <col min="9756" max="9756" width="6.625" style="3" customWidth="1"/>
    <col min="9757" max="9984" width="9" style="3"/>
    <col min="9985" max="9985" width="3.625" style="3" customWidth="1"/>
    <col min="9986" max="9987" width="10.125" style="3" customWidth="1"/>
    <col min="9988" max="9988" width="5.625" style="3" customWidth="1"/>
    <col min="9989" max="9989" width="5.25" style="3" customWidth="1"/>
    <col min="9990" max="9990" width="8.125" style="3" customWidth="1"/>
    <col min="9991" max="9991" width="1.625" style="3" customWidth="1"/>
    <col min="9992" max="9992" width="4.625" style="3" customWidth="1"/>
    <col min="9993" max="9993" width="1.625" style="3" customWidth="1"/>
    <col min="9994" max="9994" width="4.625" style="3" customWidth="1"/>
    <col min="9995" max="9995" width="1.625" style="3" customWidth="1"/>
    <col min="9996" max="9996" width="8.625" style="3" customWidth="1"/>
    <col min="9997" max="9999" width="0" style="3" hidden="1" customWidth="1"/>
    <col min="10000" max="10000" width="10.25" style="3" customWidth="1"/>
    <col min="10001" max="10001" width="6.625" style="3" customWidth="1"/>
    <col min="10002" max="10002" width="9.625" style="3" customWidth="1"/>
    <col min="10003" max="10004" width="6.625" style="3" customWidth="1"/>
    <col min="10005" max="10005" width="7.125" style="3" customWidth="1"/>
    <col min="10006" max="10006" width="11.625" style="3" customWidth="1"/>
    <col min="10007" max="10007" width="9.625" style="3" customWidth="1"/>
    <col min="10008" max="10008" width="0" style="3" hidden="1" customWidth="1"/>
    <col min="10009" max="10010" width="3.625" style="3" customWidth="1"/>
    <col min="10011" max="10011" width="5.625" style="3" customWidth="1"/>
    <col min="10012" max="10012" width="6.625" style="3" customWidth="1"/>
    <col min="10013" max="10240" width="9" style="3"/>
    <col min="10241" max="10241" width="3.625" style="3" customWidth="1"/>
    <col min="10242" max="10243" width="10.125" style="3" customWidth="1"/>
    <col min="10244" max="10244" width="5.625" style="3" customWidth="1"/>
    <col min="10245" max="10245" width="5.25" style="3" customWidth="1"/>
    <col min="10246" max="10246" width="8.125" style="3" customWidth="1"/>
    <col min="10247" max="10247" width="1.625" style="3" customWidth="1"/>
    <col min="10248" max="10248" width="4.625" style="3" customWidth="1"/>
    <col min="10249" max="10249" width="1.625" style="3" customWidth="1"/>
    <col min="10250" max="10250" width="4.625" style="3" customWidth="1"/>
    <col min="10251" max="10251" width="1.625" style="3" customWidth="1"/>
    <col min="10252" max="10252" width="8.625" style="3" customWidth="1"/>
    <col min="10253" max="10255" width="0" style="3" hidden="1" customWidth="1"/>
    <col min="10256" max="10256" width="10.25" style="3" customWidth="1"/>
    <col min="10257" max="10257" width="6.625" style="3" customWidth="1"/>
    <col min="10258" max="10258" width="9.625" style="3" customWidth="1"/>
    <col min="10259" max="10260" width="6.625" style="3" customWidth="1"/>
    <col min="10261" max="10261" width="7.125" style="3" customWidth="1"/>
    <col min="10262" max="10262" width="11.625" style="3" customWidth="1"/>
    <col min="10263" max="10263" width="9.625" style="3" customWidth="1"/>
    <col min="10264" max="10264" width="0" style="3" hidden="1" customWidth="1"/>
    <col min="10265" max="10266" width="3.625" style="3" customWidth="1"/>
    <col min="10267" max="10267" width="5.625" style="3" customWidth="1"/>
    <col min="10268" max="10268" width="6.625" style="3" customWidth="1"/>
    <col min="10269" max="10496" width="9" style="3"/>
    <col min="10497" max="10497" width="3.625" style="3" customWidth="1"/>
    <col min="10498" max="10499" width="10.125" style="3" customWidth="1"/>
    <col min="10500" max="10500" width="5.625" style="3" customWidth="1"/>
    <col min="10501" max="10501" width="5.25" style="3" customWidth="1"/>
    <col min="10502" max="10502" width="8.125" style="3" customWidth="1"/>
    <col min="10503" max="10503" width="1.625" style="3" customWidth="1"/>
    <col min="10504" max="10504" width="4.625" style="3" customWidth="1"/>
    <col min="10505" max="10505" width="1.625" style="3" customWidth="1"/>
    <col min="10506" max="10506" width="4.625" style="3" customWidth="1"/>
    <col min="10507" max="10507" width="1.625" style="3" customWidth="1"/>
    <col min="10508" max="10508" width="8.625" style="3" customWidth="1"/>
    <col min="10509" max="10511" width="0" style="3" hidden="1" customWidth="1"/>
    <col min="10512" max="10512" width="10.25" style="3" customWidth="1"/>
    <col min="10513" max="10513" width="6.625" style="3" customWidth="1"/>
    <col min="10514" max="10514" width="9.625" style="3" customWidth="1"/>
    <col min="10515" max="10516" width="6.625" style="3" customWidth="1"/>
    <col min="10517" max="10517" width="7.125" style="3" customWidth="1"/>
    <col min="10518" max="10518" width="11.625" style="3" customWidth="1"/>
    <col min="10519" max="10519" width="9.625" style="3" customWidth="1"/>
    <col min="10520" max="10520" width="0" style="3" hidden="1" customWidth="1"/>
    <col min="10521" max="10522" width="3.625" style="3" customWidth="1"/>
    <col min="10523" max="10523" width="5.625" style="3" customWidth="1"/>
    <col min="10524" max="10524" width="6.625" style="3" customWidth="1"/>
    <col min="10525" max="10752" width="9" style="3"/>
    <col min="10753" max="10753" width="3.625" style="3" customWidth="1"/>
    <col min="10754" max="10755" width="10.125" style="3" customWidth="1"/>
    <col min="10756" max="10756" width="5.625" style="3" customWidth="1"/>
    <col min="10757" max="10757" width="5.25" style="3" customWidth="1"/>
    <col min="10758" max="10758" width="8.125" style="3" customWidth="1"/>
    <col min="10759" max="10759" width="1.625" style="3" customWidth="1"/>
    <col min="10760" max="10760" width="4.625" style="3" customWidth="1"/>
    <col min="10761" max="10761" width="1.625" style="3" customWidth="1"/>
    <col min="10762" max="10762" width="4.625" style="3" customWidth="1"/>
    <col min="10763" max="10763" width="1.625" style="3" customWidth="1"/>
    <col min="10764" max="10764" width="8.625" style="3" customWidth="1"/>
    <col min="10765" max="10767" width="0" style="3" hidden="1" customWidth="1"/>
    <col min="10768" max="10768" width="10.25" style="3" customWidth="1"/>
    <col min="10769" max="10769" width="6.625" style="3" customWidth="1"/>
    <col min="10770" max="10770" width="9.625" style="3" customWidth="1"/>
    <col min="10771" max="10772" width="6.625" style="3" customWidth="1"/>
    <col min="10773" max="10773" width="7.125" style="3" customWidth="1"/>
    <col min="10774" max="10774" width="11.625" style="3" customWidth="1"/>
    <col min="10775" max="10775" width="9.625" style="3" customWidth="1"/>
    <col min="10776" max="10776" width="0" style="3" hidden="1" customWidth="1"/>
    <col min="10777" max="10778" width="3.625" style="3" customWidth="1"/>
    <col min="10779" max="10779" width="5.625" style="3" customWidth="1"/>
    <col min="10780" max="10780" width="6.625" style="3" customWidth="1"/>
    <col min="10781" max="11008" width="9" style="3"/>
    <col min="11009" max="11009" width="3.625" style="3" customWidth="1"/>
    <col min="11010" max="11011" width="10.125" style="3" customWidth="1"/>
    <col min="11012" max="11012" width="5.625" style="3" customWidth="1"/>
    <col min="11013" max="11013" width="5.25" style="3" customWidth="1"/>
    <col min="11014" max="11014" width="8.125" style="3" customWidth="1"/>
    <col min="11015" max="11015" width="1.625" style="3" customWidth="1"/>
    <col min="11016" max="11016" width="4.625" style="3" customWidth="1"/>
    <col min="11017" max="11017" width="1.625" style="3" customWidth="1"/>
    <col min="11018" max="11018" width="4.625" style="3" customWidth="1"/>
    <col min="11019" max="11019" width="1.625" style="3" customWidth="1"/>
    <col min="11020" max="11020" width="8.625" style="3" customWidth="1"/>
    <col min="11021" max="11023" width="0" style="3" hidden="1" customWidth="1"/>
    <col min="11024" max="11024" width="10.25" style="3" customWidth="1"/>
    <col min="11025" max="11025" width="6.625" style="3" customWidth="1"/>
    <col min="11026" max="11026" width="9.625" style="3" customWidth="1"/>
    <col min="11027" max="11028" width="6.625" style="3" customWidth="1"/>
    <col min="11029" max="11029" width="7.125" style="3" customWidth="1"/>
    <col min="11030" max="11030" width="11.625" style="3" customWidth="1"/>
    <col min="11031" max="11031" width="9.625" style="3" customWidth="1"/>
    <col min="11032" max="11032" width="0" style="3" hidden="1" customWidth="1"/>
    <col min="11033" max="11034" width="3.625" style="3" customWidth="1"/>
    <col min="11035" max="11035" width="5.625" style="3" customWidth="1"/>
    <col min="11036" max="11036" width="6.625" style="3" customWidth="1"/>
    <col min="11037" max="11264" width="9" style="3"/>
    <col min="11265" max="11265" width="3.625" style="3" customWidth="1"/>
    <col min="11266" max="11267" width="10.125" style="3" customWidth="1"/>
    <col min="11268" max="11268" width="5.625" style="3" customWidth="1"/>
    <col min="11269" max="11269" width="5.25" style="3" customWidth="1"/>
    <col min="11270" max="11270" width="8.125" style="3" customWidth="1"/>
    <col min="11271" max="11271" width="1.625" style="3" customWidth="1"/>
    <col min="11272" max="11272" width="4.625" style="3" customWidth="1"/>
    <col min="11273" max="11273" width="1.625" style="3" customWidth="1"/>
    <col min="11274" max="11274" width="4.625" style="3" customWidth="1"/>
    <col min="11275" max="11275" width="1.625" style="3" customWidth="1"/>
    <col min="11276" max="11276" width="8.625" style="3" customWidth="1"/>
    <col min="11277" max="11279" width="0" style="3" hidden="1" customWidth="1"/>
    <col min="11280" max="11280" width="10.25" style="3" customWidth="1"/>
    <col min="11281" max="11281" width="6.625" style="3" customWidth="1"/>
    <col min="11282" max="11282" width="9.625" style="3" customWidth="1"/>
    <col min="11283" max="11284" width="6.625" style="3" customWidth="1"/>
    <col min="11285" max="11285" width="7.125" style="3" customWidth="1"/>
    <col min="11286" max="11286" width="11.625" style="3" customWidth="1"/>
    <col min="11287" max="11287" width="9.625" style="3" customWidth="1"/>
    <col min="11288" max="11288" width="0" style="3" hidden="1" customWidth="1"/>
    <col min="11289" max="11290" width="3.625" style="3" customWidth="1"/>
    <col min="11291" max="11291" width="5.625" style="3" customWidth="1"/>
    <col min="11292" max="11292" width="6.625" style="3" customWidth="1"/>
    <col min="11293" max="11520" width="9" style="3"/>
    <col min="11521" max="11521" width="3.625" style="3" customWidth="1"/>
    <col min="11522" max="11523" width="10.125" style="3" customWidth="1"/>
    <col min="11524" max="11524" width="5.625" style="3" customWidth="1"/>
    <col min="11525" max="11525" width="5.25" style="3" customWidth="1"/>
    <col min="11526" max="11526" width="8.125" style="3" customWidth="1"/>
    <col min="11527" max="11527" width="1.625" style="3" customWidth="1"/>
    <col min="11528" max="11528" width="4.625" style="3" customWidth="1"/>
    <col min="11529" max="11529" width="1.625" style="3" customWidth="1"/>
    <col min="11530" max="11530" width="4.625" style="3" customWidth="1"/>
    <col min="11531" max="11531" width="1.625" style="3" customWidth="1"/>
    <col min="11532" max="11532" width="8.625" style="3" customWidth="1"/>
    <col min="11533" max="11535" width="0" style="3" hidden="1" customWidth="1"/>
    <col min="11536" max="11536" width="10.25" style="3" customWidth="1"/>
    <col min="11537" max="11537" width="6.625" style="3" customWidth="1"/>
    <col min="11538" max="11538" width="9.625" style="3" customWidth="1"/>
    <col min="11539" max="11540" width="6.625" style="3" customWidth="1"/>
    <col min="11541" max="11541" width="7.125" style="3" customWidth="1"/>
    <col min="11542" max="11542" width="11.625" style="3" customWidth="1"/>
    <col min="11543" max="11543" width="9.625" style="3" customWidth="1"/>
    <col min="11544" max="11544" width="0" style="3" hidden="1" customWidth="1"/>
    <col min="11545" max="11546" width="3.625" style="3" customWidth="1"/>
    <col min="11547" max="11547" width="5.625" style="3" customWidth="1"/>
    <col min="11548" max="11548" width="6.625" style="3" customWidth="1"/>
    <col min="11549" max="11776" width="9" style="3"/>
    <col min="11777" max="11777" width="3.625" style="3" customWidth="1"/>
    <col min="11778" max="11779" width="10.125" style="3" customWidth="1"/>
    <col min="11780" max="11780" width="5.625" style="3" customWidth="1"/>
    <col min="11781" max="11781" width="5.25" style="3" customWidth="1"/>
    <col min="11782" max="11782" width="8.125" style="3" customWidth="1"/>
    <col min="11783" max="11783" width="1.625" style="3" customWidth="1"/>
    <col min="11784" max="11784" width="4.625" style="3" customWidth="1"/>
    <col min="11785" max="11785" width="1.625" style="3" customWidth="1"/>
    <col min="11786" max="11786" width="4.625" style="3" customWidth="1"/>
    <col min="11787" max="11787" width="1.625" style="3" customWidth="1"/>
    <col min="11788" max="11788" width="8.625" style="3" customWidth="1"/>
    <col min="11789" max="11791" width="0" style="3" hidden="1" customWidth="1"/>
    <col min="11792" max="11792" width="10.25" style="3" customWidth="1"/>
    <col min="11793" max="11793" width="6.625" style="3" customWidth="1"/>
    <col min="11794" max="11794" width="9.625" style="3" customWidth="1"/>
    <col min="11795" max="11796" width="6.625" style="3" customWidth="1"/>
    <col min="11797" max="11797" width="7.125" style="3" customWidth="1"/>
    <col min="11798" max="11798" width="11.625" style="3" customWidth="1"/>
    <col min="11799" max="11799" width="9.625" style="3" customWidth="1"/>
    <col min="11800" max="11800" width="0" style="3" hidden="1" customWidth="1"/>
    <col min="11801" max="11802" width="3.625" style="3" customWidth="1"/>
    <col min="11803" max="11803" width="5.625" style="3" customWidth="1"/>
    <col min="11804" max="11804" width="6.625" style="3" customWidth="1"/>
    <col min="11805" max="12032" width="9" style="3"/>
    <col min="12033" max="12033" width="3.625" style="3" customWidth="1"/>
    <col min="12034" max="12035" width="10.125" style="3" customWidth="1"/>
    <col min="12036" max="12036" width="5.625" style="3" customWidth="1"/>
    <col min="12037" max="12037" width="5.25" style="3" customWidth="1"/>
    <col min="12038" max="12038" width="8.125" style="3" customWidth="1"/>
    <col min="12039" max="12039" width="1.625" style="3" customWidth="1"/>
    <col min="12040" max="12040" width="4.625" style="3" customWidth="1"/>
    <col min="12041" max="12041" width="1.625" style="3" customWidth="1"/>
    <col min="12042" max="12042" width="4.625" style="3" customWidth="1"/>
    <col min="12043" max="12043" width="1.625" style="3" customWidth="1"/>
    <col min="12044" max="12044" width="8.625" style="3" customWidth="1"/>
    <col min="12045" max="12047" width="0" style="3" hidden="1" customWidth="1"/>
    <col min="12048" max="12048" width="10.25" style="3" customWidth="1"/>
    <col min="12049" max="12049" width="6.625" style="3" customWidth="1"/>
    <col min="12050" max="12050" width="9.625" style="3" customWidth="1"/>
    <col min="12051" max="12052" width="6.625" style="3" customWidth="1"/>
    <col min="12053" max="12053" width="7.125" style="3" customWidth="1"/>
    <col min="12054" max="12054" width="11.625" style="3" customWidth="1"/>
    <col min="12055" max="12055" width="9.625" style="3" customWidth="1"/>
    <col min="12056" max="12056" width="0" style="3" hidden="1" customWidth="1"/>
    <col min="12057" max="12058" width="3.625" style="3" customWidth="1"/>
    <col min="12059" max="12059" width="5.625" style="3" customWidth="1"/>
    <col min="12060" max="12060" width="6.625" style="3" customWidth="1"/>
    <col min="12061" max="12288" width="9" style="3"/>
    <col min="12289" max="12289" width="3.625" style="3" customWidth="1"/>
    <col min="12290" max="12291" width="10.125" style="3" customWidth="1"/>
    <col min="12292" max="12292" width="5.625" style="3" customWidth="1"/>
    <col min="12293" max="12293" width="5.25" style="3" customWidth="1"/>
    <col min="12294" max="12294" width="8.125" style="3" customWidth="1"/>
    <col min="12295" max="12295" width="1.625" style="3" customWidth="1"/>
    <col min="12296" max="12296" width="4.625" style="3" customWidth="1"/>
    <col min="12297" max="12297" width="1.625" style="3" customWidth="1"/>
    <col min="12298" max="12298" width="4.625" style="3" customWidth="1"/>
    <col min="12299" max="12299" width="1.625" style="3" customWidth="1"/>
    <col min="12300" max="12300" width="8.625" style="3" customWidth="1"/>
    <col min="12301" max="12303" width="0" style="3" hidden="1" customWidth="1"/>
    <col min="12304" max="12304" width="10.25" style="3" customWidth="1"/>
    <col min="12305" max="12305" width="6.625" style="3" customWidth="1"/>
    <col min="12306" max="12306" width="9.625" style="3" customWidth="1"/>
    <col min="12307" max="12308" width="6.625" style="3" customWidth="1"/>
    <col min="12309" max="12309" width="7.125" style="3" customWidth="1"/>
    <col min="12310" max="12310" width="11.625" style="3" customWidth="1"/>
    <col min="12311" max="12311" width="9.625" style="3" customWidth="1"/>
    <col min="12312" max="12312" width="0" style="3" hidden="1" customWidth="1"/>
    <col min="12313" max="12314" width="3.625" style="3" customWidth="1"/>
    <col min="12315" max="12315" width="5.625" style="3" customWidth="1"/>
    <col min="12316" max="12316" width="6.625" style="3" customWidth="1"/>
    <col min="12317" max="12544" width="9" style="3"/>
    <col min="12545" max="12545" width="3.625" style="3" customWidth="1"/>
    <col min="12546" max="12547" width="10.125" style="3" customWidth="1"/>
    <col min="12548" max="12548" width="5.625" style="3" customWidth="1"/>
    <col min="12549" max="12549" width="5.25" style="3" customWidth="1"/>
    <col min="12550" max="12550" width="8.125" style="3" customWidth="1"/>
    <col min="12551" max="12551" width="1.625" style="3" customWidth="1"/>
    <col min="12552" max="12552" width="4.625" style="3" customWidth="1"/>
    <col min="12553" max="12553" width="1.625" style="3" customWidth="1"/>
    <col min="12554" max="12554" width="4.625" style="3" customWidth="1"/>
    <col min="12555" max="12555" width="1.625" style="3" customWidth="1"/>
    <col min="12556" max="12556" width="8.625" style="3" customWidth="1"/>
    <col min="12557" max="12559" width="0" style="3" hidden="1" customWidth="1"/>
    <col min="12560" max="12560" width="10.25" style="3" customWidth="1"/>
    <col min="12561" max="12561" width="6.625" style="3" customWidth="1"/>
    <col min="12562" max="12562" width="9.625" style="3" customWidth="1"/>
    <col min="12563" max="12564" width="6.625" style="3" customWidth="1"/>
    <col min="12565" max="12565" width="7.125" style="3" customWidth="1"/>
    <col min="12566" max="12566" width="11.625" style="3" customWidth="1"/>
    <col min="12567" max="12567" width="9.625" style="3" customWidth="1"/>
    <col min="12568" max="12568" width="0" style="3" hidden="1" customWidth="1"/>
    <col min="12569" max="12570" width="3.625" style="3" customWidth="1"/>
    <col min="12571" max="12571" width="5.625" style="3" customWidth="1"/>
    <col min="12572" max="12572" width="6.625" style="3" customWidth="1"/>
    <col min="12573" max="12800" width="9" style="3"/>
    <col min="12801" max="12801" width="3.625" style="3" customWidth="1"/>
    <col min="12802" max="12803" width="10.125" style="3" customWidth="1"/>
    <col min="12804" max="12804" width="5.625" style="3" customWidth="1"/>
    <col min="12805" max="12805" width="5.25" style="3" customWidth="1"/>
    <col min="12806" max="12806" width="8.125" style="3" customWidth="1"/>
    <col min="12807" max="12807" width="1.625" style="3" customWidth="1"/>
    <col min="12808" max="12808" width="4.625" style="3" customWidth="1"/>
    <col min="12809" max="12809" width="1.625" style="3" customWidth="1"/>
    <col min="12810" max="12810" width="4.625" style="3" customWidth="1"/>
    <col min="12811" max="12811" width="1.625" style="3" customWidth="1"/>
    <col min="12812" max="12812" width="8.625" style="3" customWidth="1"/>
    <col min="12813" max="12815" width="0" style="3" hidden="1" customWidth="1"/>
    <col min="12816" max="12816" width="10.25" style="3" customWidth="1"/>
    <col min="12817" max="12817" width="6.625" style="3" customWidth="1"/>
    <col min="12818" max="12818" width="9.625" style="3" customWidth="1"/>
    <col min="12819" max="12820" width="6.625" style="3" customWidth="1"/>
    <col min="12821" max="12821" width="7.125" style="3" customWidth="1"/>
    <col min="12822" max="12822" width="11.625" style="3" customWidth="1"/>
    <col min="12823" max="12823" width="9.625" style="3" customWidth="1"/>
    <col min="12824" max="12824" width="0" style="3" hidden="1" customWidth="1"/>
    <col min="12825" max="12826" width="3.625" style="3" customWidth="1"/>
    <col min="12827" max="12827" width="5.625" style="3" customWidth="1"/>
    <col min="12828" max="12828" width="6.625" style="3" customWidth="1"/>
    <col min="12829" max="13056" width="9" style="3"/>
    <col min="13057" max="13057" width="3.625" style="3" customWidth="1"/>
    <col min="13058" max="13059" width="10.125" style="3" customWidth="1"/>
    <col min="13060" max="13060" width="5.625" style="3" customWidth="1"/>
    <col min="13061" max="13061" width="5.25" style="3" customWidth="1"/>
    <col min="13062" max="13062" width="8.125" style="3" customWidth="1"/>
    <col min="13063" max="13063" width="1.625" style="3" customWidth="1"/>
    <col min="13064" max="13064" width="4.625" style="3" customWidth="1"/>
    <col min="13065" max="13065" width="1.625" style="3" customWidth="1"/>
    <col min="13066" max="13066" width="4.625" style="3" customWidth="1"/>
    <col min="13067" max="13067" width="1.625" style="3" customWidth="1"/>
    <col min="13068" max="13068" width="8.625" style="3" customWidth="1"/>
    <col min="13069" max="13071" width="0" style="3" hidden="1" customWidth="1"/>
    <col min="13072" max="13072" width="10.25" style="3" customWidth="1"/>
    <col min="13073" max="13073" width="6.625" style="3" customWidth="1"/>
    <col min="13074" max="13074" width="9.625" style="3" customWidth="1"/>
    <col min="13075" max="13076" width="6.625" style="3" customWidth="1"/>
    <col min="13077" max="13077" width="7.125" style="3" customWidth="1"/>
    <col min="13078" max="13078" width="11.625" style="3" customWidth="1"/>
    <col min="13079" max="13079" width="9.625" style="3" customWidth="1"/>
    <col min="13080" max="13080" width="0" style="3" hidden="1" customWidth="1"/>
    <col min="13081" max="13082" width="3.625" style="3" customWidth="1"/>
    <col min="13083" max="13083" width="5.625" style="3" customWidth="1"/>
    <col min="13084" max="13084" width="6.625" style="3" customWidth="1"/>
    <col min="13085" max="13312" width="9" style="3"/>
    <col min="13313" max="13313" width="3.625" style="3" customWidth="1"/>
    <col min="13314" max="13315" width="10.125" style="3" customWidth="1"/>
    <col min="13316" max="13316" width="5.625" style="3" customWidth="1"/>
    <col min="13317" max="13317" width="5.25" style="3" customWidth="1"/>
    <col min="13318" max="13318" width="8.125" style="3" customWidth="1"/>
    <col min="13319" max="13319" width="1.625" style="3" customWidth="1"/>
    <col min="13320" max="13320" width="4.625" style="3" customWidth="1"/>
    <col min="13321" max="13321" width="1.625" style="3" customWidth="1"/>
    <col min="13322" max="13322" width="4.625" style="3" customWidth="1"/>
    <col min="13323" max="13323" width="1.625" style="3" customWidth="1"/>
    <col min="13324" max="13324" width="8.625" style="3" customWidth="1"/>
    <col min="13325" max="13327" width="0" style="3" hidden="1" customWidth="1"/>
    <col min="13328" max="13328" width="10.25" style="3" customWidth="1"/>
    <col min="13329" max="13329" width="6.625" style="3" customWidth="1"/>
    <col min="13330" max="13330" width="9.625" style="3" customWidth="1"/>
    <col min="13331" max="13332" width="6.625" style="3" customWidth="1"/>
    <col min="13333" max="13333" width="7.125" style="3" customWidth="1"/>
    <col min="13334" max="13334" width="11.625" style="3" customWidth="1"/>
    <col min="13335" max="13335" width="9.625" style="3" customWidth="1"/>
    <col min="13336" max="13336" width="0" style="3" hidden="1" customWidth="1"/>
    <col min="13337" max="13338" width="3.625" style="3" customWidth="1"/>
    <col min="13339" max="13339" width="5.625" style="3" customWidth="1"/>
    <col min="13340" max="13340" width="6.625" style="3" customWidth="1"/>
    <col min="13341" max="13568" width="9" style="3"/>
    <col min="13569" max="13569" width="3.625" style="3" customWidth="1"/>
    <col min="13570" max="13571" width="10.125" style="3" customWidth="1"/>
    <col min="13572" max="13572" width="5.625" style="3" customWidth="1"/>
    <col min="13573" max="13573" width="5.25" style="3" customWidth="1"/>
    <col min="13574" max="13574" width="8.125" style="3" customWidth="1"/>
    <col min="13575" max="13575" width="1.625" style="3" customWidth="1"/>
    <col min="13576" max="13576" width="4.625" style="3" customWidth="1"/>
    <col min="13577" max="13577" width="1.625" style="3" customWidth="1"/>
    <col min="13578" max="13578" width="4.625" style="3" customWidth="1"/>
    <col min="13579" max="13579" width="1.625" style="3" customWidth="1"/>
    <col min="13580" max="13580" width="8.625" style="3" customWidth="1"/>
    <col min="13581" max="13583" width="0" style="3" hidden="1" customWidth="1"/>
    <col min="13584" max="13584" width="10.25" style="3" customWidth="1"/>
    <col min="13585" max="13585" width="6.625" style="3" customWidth="1"/>
    <col min="13586" max="13586" width="9.625" style="3" customWidth="1"/>
    <col min="13587" max="13588" width="6.625" style="3" customWidth="1"/>
    <col min="13589" max="13589" width="7.125" style="3" customWidth="1"/>
    <col min="13590" max="13590" width="11.625" style="3" customWidth="1"/>
    <col min="13591" max="13591" width="9.625" style="3" customWidth="1"/>
    <col min="13592" max="13592" width="0" style="3" hidden="1" customWidth="1"/>
    <col min="13593" max="13594" width="3.625" style="3" customWidth="1"/>
    <col min="13595" max="13595" width="5.625" style="3" customWidth="1"/>
    <col min="13596" max="13596" width="6.625" style="3" customWidth="1"/>
    <col min="13597" max="13824" width="9" style="3"/>
    <col min="13825" max="13825" width="3.625" style="3" customWidth="1"/>
    <col min="13826" max="13827" width="10.125" style="3" customWidth="1"/>
    <col min="13828" max="13828" width="5.625" style="3" customWidth="1"/>
    <col min="13829" max="13829" width="5.25" style="3" customWidth="1"/>
    <col min="13830" max="13830" width="8.125" style="3" customWidth="1"/>
    <col min="13831" max="13831" width="1.625" style="3" customWidth="1"/>
    <col min="13832" max="13832" width="4.625" style="3" customWidth="1"/>
    <col min="13833" max="13833" width="1.625" style="3" customWidth="1"/>
    <col min="13834" max="13834" width="4.625" style="3" customWidth="1"/>
    <col min="13835" max="13835" width="1.625" style="3" customWidth="1"/>
    <col min="13836" max="13836" width="8.625" style="3" customWidth="1"/>
    <col min="13837" max="13839" width="0" style="3" hidden="1" customWidth="1"/>
    <col min="13840" max="13840" width="10.25" style="3" customWidth="1"/>
    <col min="13841" max="13841" width="6.625" style="3" customWidth="1"/>
    <col min="13842" max="13842" width="9.625" style="3" customWidth="1"/>
    <col min="13843" max="13844" width="6.625" style="3" customWidth="1"/>
    <col min="13845" max="13845" width="7.125" style="3" customWidth="1"/>
    <col min="13846" max="13846" width="11.625" style="3" customWidth="1"/>
    <col min="13847" max="13847" width="9.625" style="3" customWidth="1"/>
    <col min="13848" max="13848" width="0" style="3" hidden="1" customWidth="1"/>
    <col min="13849" max="13850" width="3.625" style="3" customWidth="1"/>
    <col min="13851" max="13851" width="5.625" style="3" customWidth="1"/>
    <col min="13852" max="13852" width="6.625" style="3" customWidth="1"/>
    <col min="13853" max="14080" width="9" style="3"/>
    <col min="14081" max="14081" width="3.625" style="3" customWidth="1"/>
    <col min="14082" max="14083" width="10.125" style="3" customWidth="1"/>
    <col min="14084" max="14084" width="5.625" style="3" customWidth="1"/>
    <col min="14085" max="14085" width="5.25" style="3" customWidth="1"/>
    <col min="14086" max="14086" width="8.125" style="3" customWidth="1"/>
    <col min="14087" max="14087" width="1.625" style="3" customWidth="1"/>
    <col min="14088" max="14088" width="4.625" style="3" customWidth="1"/>
    <col min="14089" max="14089" width="1.625" style="3" customWidth="1"/>
    <col min="14090" max="14090" width="4.625" style="3" customWidth="1"/>
    <col min="14091" max="14091" width="1.625" style="3" customWidth="1"/>
    <col min="14092" max="14092" width="8.625" style="3" customWidth="1"/>
    <col min="14093" max="14095" width="0" style="3" hidden="1" customWidth="1"/>
    <col min="14096" max="14096" width="10.25" style="3" customWidth="1"/>
    <col min="14097" max="14097" width="6.625" style="3" customWidth="1"/>
    <col min="14098" max="14098" width="9.625" style="3" customWidth="1"/>
    <col min="14099" max="14100" width="6.625" style="3" customWidth="1"/>
    <col min="14101" max="14101" width="7.125" style="3" customWidth="1"/>
    <col min="14102" max="14102" width="11.625" style="3" customWidth="1"/>
    <col min="14103" max="14103" width="9.625" style="3" customWidth="1"/>
    <col min="14104" max="14104" width="0" style="3" hidden="1" customWidth="1"/>
    <col min="14105" max="14106" width="3.625" style="3" customWidth="1"/>
    <col min="14107" max="14107" width="5.625" style="3" customWidth="1"/>
    <col min="14108" max="14108" width="6.625" style="3" customWidth="1"/>
    <col min="14109" max="14336" width="9" style="3"/>
    <col min="14337" max="14337" width="3.625" style="3" customWidth="1"/>
    <col min="14338" max="14339" width="10.125" style="3" customWidth="1"/>
    <col min="14340" max="14340" width="5.625" style="3" customWidth="1"/>
    <col min="14341" max="14341" width="5.25" style="3" customWidth="1"/>
    <col min="14342" max="14342" width="8.125" style="3" customWidth="1"/>
    <col min="14343" max="14343" width="1.625" style="3" customWidth="1"/>
    <col min="14344" max="14344" width="4.625" style="3" customWidth="1"/>
    <col min="14345" max="14345" width="1.625" style="3" customWidth="1"/>
    <col min="14346" max="14346" width="4.625" style="3" customWidth="1"/>
    <col min="14347" max="14347" width="1.625" style="3" customWidth="1"/>
    <col min="14348" max="14348" width="8.625" style="3" customWidth="1"/>
    <col min="14349" max="14351" width="0" style="3" hidden="1" customWidth="1"/>
    <col min="14352" max="14352" width="10.25" style="3" customWidth="1"/>
    <col min="14353" max="14353" width="6.625" style="3" customWidth="1"/>
    <col min="14354" max="14354" width="9.625" style="3" customWidth="1"/>
    <col min="14355" max="14356" width="6.625" style="3" customWidth="1"/>
    <col min="14357" max="14357" width="7.125" style="3" customWidth="1"/>
    <col min="14358" max="14358" width="11.625" style="3" customWidth="1"/>
    <col min="14359" max="14359" width="9.625" style="3" customWidth="1"/>
    <col min="14360" max="14360" width="0" style="3" hidden="1" customWidth="1"/>
    <col min="14361" max="14362" width="3.625" style="3" customWidth="1"/>
    <col min="14363" max="14363" width="5.625" style="3" customWidth="1"/>
    <col min="14364" max="14364" width="6.625" style="3" customWidth="1"/>
    <col min="14365" max="14592" width="9" style="3"/>
    <col min="14593" max="14593" width="3.625" style="3" customWidth="1"/>
    <col min="14594" max="14595" width="10.125" style="3" customWidth="1"/>
    <col min="14596" max="14596" width="5.625" style="3" customWidth="1"/>
    <col min="14597" max="14597" width="5.25" style="3" customWidth="1"/>
    <col min="14598" max="14598" width="8.125" style="3" customWidth="1"/>
    <col min="14599" max="14599" width="1.625" style="3" customWidth="1"/>
    <col min="14600" max="14600" width="4.625" style="3" customWidth="1"/>
    <col min="14601" max="14601" width="1.625" style="3" customWidth="1"/>
    <col min="14602" max="14602" width="4.625" style="3" customWidth="1"/>
    <col min="14603" max="14603" width="1.625" style="3" customWidth="1"/>
    <col min="14604" max="14604" width="8.625" style="3" customWidth="1"/>
    <col min="14605" max="14607" width="0" style="3" hidden="1" customWidth="1"/>
    <col min="14608" max="14608" width="10.25" style="3" customWidth="1"/>
    <col min="14609" max="14609" width="6.625" style="3" customWidth="1"/>
    <col min="14610" max="14610" width="9.625" style="3" customWidth="1"/>
    <col min="14611" max="14612" width="6.625" style="3" customWidth="1"/>
    <col min="14613" max="14613" width="7.125" style="3" customWidth="1"/>
    <col min="14614" max="14614" width="11.625" style="3" customWidth="1"/>
    <col min="14615" max="14615" width="9.625" style="3" customWidth="1"/>
    <col min="14616" max="14616" width="0" style="3" hidden="1" customWidth="1"/>
    <col min="14617" max="14618" width="3.625" style="3" customWidth="1"/>
    <col min="14619" max="14619" width="5.625" style="3" customWidth="1"/>
    <col min="14620" max="14620" width="6.625" style="3" customWidth="1"/>
    <col min="14621" max="14848" width="9" style="3"/>
    <col min="14849" max="14849" width="3.625" style="3" customWidth="1"/>
    <col min="14850" max="14851" width="10.125" style="3" customWidth="1"/>
    <col min="14852" max="14852" width="5.625" style="3" customWidth="1"/>
    <col min="14853" max="14853" width="5.25" style="3" customWidth="1"/>
    <col min="14854" max="14854" width="8.125" style="3" customWidth="1"/>
    <col min="14855" max="14855" width="1.625" style="3" customWidth="1"/>
    <col min="14856" max="14856" width="4.625" style="3" customWidth="1"/>
    <col min="14857" max="14857" width="1.625" style="3" customWidth="1"/>
    <col min="14858" max="14858" width="4.625" style="3" customWidth="1"/>
    <col min="14859" max="14859" width="1.625" style="3" customWidth="1"/>
    <col min="14860" max="14860" width="8.625" style="3" customWidth="1"/>
    <col min="14861" max="14863" width="0" style="3" hidden="1" customWidth="1"/>
    <col min="14864" max="14864" width="10.25" style="3" customWidth="1"/>
    <col min="14865" max="14865" width="6.625" style="3" customWidth="1"/>
    <col min="14866" max="14866" width="9.625" style="3" customWidth="1"/>
    <col min="14867" max="14868" width="6.625" style="3" customWidth="1"/>
    <col min="14869" max="14869" width="7.125" style="3" customWidth="1"/>
    <col min="14870" max="14870" width="11.625" style="3" customWidth="1"/>
    <col min="14871" max="14871" width="9.625" style="3" customWidth="1"/>
    <col min="14872" max="14872" width="0" style="3" hidden="1" customWidth="1"/>
    <col min="14873" max="14874" width="3.625" style="3" customWidth="1"/>
    <col min="14875" max="14875" width="5.625" style="3" customWidth="1"/>
    <col min="14876" max="14876" width="6.625" style="3" customWidth="1"/>
    <col min="14877" max="15104" width="9" style="3"/>
    <col min="15105" max="15105" width="3.625" style="3" customWidth="1"/>
    <col min="15106" max="15107" width="10.125" style="3" customWidth="1"/>
    <col min="15108" max="15108" width="5.625" style="3" customWidth="1"/>
    <col min="15109" max="15109" width="5.25" style="3" customWidth="1"/>
    <col min="15110" max="15110" width="8.125" style="3" customWidth="1"/>
    <col min="15111" max="15111" width="1.625" style="3" customWidth="1"/>
    <col min="15112" max="15112" width="4.625" style="3" customWidth="1"/>
    <col min="15113" max="15113" width="1.625" style="3" customWidth="1"/>
    <col min="15114" max="15114" width="4.625" style="3" customWidth="1"/>
    <col min="15115" max="15115" width="1.625" style="3" customWidth="1"/>
    <col min="15116" max="15116" width="8.625" style="3" customWidth="1"/>
    <col min="15117" max="15119" width="0" style="3" hidden="1" customWidth="1"/>
    <col min="15120" max="15120" width="10.25" style="3" customWidth="1"/>
    <col min="15121" max="15121" width="6.625" style="3" customWidth="1"/>
    <col min="15122" max="15122" width="9.625" style="3" customWidth="1"/>
    <col min="15123" max="15124" width="6.625" style="3" customWidth="1"/>
    <col min="15125" max="15125" width="7.125" style="3" customWidth="1"/>
    <col min="15126" max="15126" width="11.625" style="3" customWidth="1"/>
    <col min="15127" max="15127" width="9.625" style="3" customWidth="1"/>
    <col min="15128" max="15128" width="0" style="3" hidden="1" customWidth="1"/>
    <col min="15129" max="15130" width="3.625" style="3" customWidth="1"/>
    <col min="15131" max="15131" width="5.625" style="3" customWidth="1"/>
    <col min="15132" max="15132" width="6.625" style="3" customWidth="1"/>
    <col min="15133" max="15360" width="9" style="3"/>
    <col min="15361" max="15361" width="3.625" style="3" customWidth="1"/>
    <col min="15362" max="15363" width="10.125" style="3" customWidth="1"/>
    <col min="15364" max="15364" width="5.625" style="3" customWidth="1"/>
    <col min="15365" max="15365" width="5.25" style="3" customWidth="1"/>
    <col min="15366" max="15366" width="8.125" style="3" customWidth="1"/>
    <col min="15367" max="15367" width="1.625" style="3" customWidth="1"/>
    <col min="15368" max="15368" width="4.625" style="3" customWidth="1"/>
    <col min="15369" max="15369" width="1.625" style="3" customWidth="1"/>
    <col min="15370" max="15370" width="4.625" style="3" customWidth="1"/>
    <col min="15371" max="15371" width="1.625" style="3" customWidth="1"/>
    <col min="15372" max="15372" width="8.625" style="3" customWidth="1"/>
    <col min="15373" max="15375" width="0" style="3" hidden="1" customWidth="1"/>
    <col min="15376" max="15376" width="10.25" style="3" customWidth="1"/>
    <col min="15377" max="15377" width="6.625" style="3" customWidth="1"/>
    <col min="15378" max="15378" width="9.625" style="3" customWidth="1"/>
    <col min="15379" max="15380" width="6.625" style="3" customWidth="1"/>
    <col min="15381" max="15381" width="7.125" style="3" customWidth="1"/>
    <col min="15382" max="15382" width="11.625" style="3" customWidth="1"/>
    <col min="15383" max="15383" width="9.625" style="3" customWidth="1"/>
    <col min="15384" max="15384" width="0" style="3" hidden="1" customWidth="1"/>
    <col min="15385" max="15386" width="3.625" style="3" customWidth="1"/>
    <col min="15387" max="15387" width="5.625" style="3" customWidth="1"/>
    <col min="15388" max="15388" width="6.625" style="3" customWidth="1"/>
    <col min="15389" max="15616" width="9" style="3"/>
    <col min="15617" max="15617" width="3.625" style="3" customWidth="1"/>
    <col min="15618" max="15619" width="10.125" style="3" customWidth="1"/>
    <col min="15620" max="15620" width="5.625" style="3" customWidth="1"/>
    <col min="15621" max="15621" width="5.25" style="3" customWidth="1"/>
    <col min="15622" max="15622" width="8.125" style="3" customWidth="1"/>
    <col min="15623" max="15623" width="1.625" style="3" customWidth="1"/>
    <col min="15624" max="15624" width="4.625" style="3" customWidth="1"/>
    <col min="15625" max="15625" width="1.625" style="3" customWidth="1"/>
    <col min="15626" max="15626" width="4.625" style="3" customWidth="1"/>
    <col min="15627" max="15627" width="1.625" style="3" customWidth="1"/>
    <col min="15628" max="15628" width="8.625" style="3" customWidth="1"/>
    <col min="15629" max="15631" width="0" style="3" hidden="1" customWidth="1"/>
    <col min="15632" max="15632" width="10.25" style="3" customWidth="1"/>
    <col min="15633" max="15633" width="6.625" style="3" customWidth="1"/>
    <col min="15634" max="15634" width="9.625" style="3" customWidth="1"/>
    <col min="15635" max="15636" width="6.625" style="3" customWidth="1"/>
    <col min="15637" max="15637" width="7.125" style="3" customWidth="1"/>
    <col min="15638" max="15638" width="11.625" style="3" customWidth="1"/>
    <col min="15639" max="15639" width="9.625" style="3" customWidth="1"/>
    <col min="15640" max="15640" width="0" style="3" hidden="1" customWidth="1"/>
    <col min="15641" max="15642" width="3.625" style="3" customWidth="1"/>
    <col min="15643" max="15643" width="5.625" style="3" customWidth="1"/>
    <col min="15644" max="15644" width="6.625" style="3" customWidth="1"/>
    <col min="15645" max="15872" width="9" style="3"/>
    <col min="15873" max="15873" width="3.625" style="3" customWidth="1"/>
    <col min="15874" max="15875" width="10.125" style="3" customWidth="1"/>
    <col min="15876" max="15876" width="5.625" style="3" customWidth="1"/>
    <col min="15877" max="15877" width="5.25" style="3" customWidth="1"/>
    <col min="15878" max="15878" width="8.125" style="3" customWidth="1"/>
    <col min="15879" max="15879" width="1.625" style="3" customWidth="1"/>
    <col min="15880" max="15880" width="4.625" style="3" customWidth="1"/>
    <col min="15881" max="15881" width="1.625" style="3" customWidth="1"/>
    <col min="15882" max="15882" width="4.625" style="3" customWidth="1"/>
    <col min="15883" max="15883" width="1.625" style="3" customWidth="1"/>
    <col min="15884" max="15884" width="8.625" style="3" customWidth="1"/>
    <col min="15885" max="15887" width="0" style="3" hidden="1" customWidth="1"/>
    <col min="15888" max="15888" width="10.25" style="3" customWidth="1"/>
    <col min="15889" max="15889" width="6.625" style="3" customWidth="1"/>
    <col min="15890" max="15890" width="9.625" style="3" customWidth="1"/>
    <col min="15891" max="15892" width="6.625" style="3" customWidth="1"/>
    <col min="15893" max="15893" width="7.125" style="3" customWidth="1"/>
    <col min="15894" max="15894" width="11.625" style="3" customWidth="1"/>
    <col min="15895" max="15895" width="9.625" style="3" customWidth="1"/>
    <col min="15896" max="15896" width="0" style="3" hidden="1" customWidth="1"/>
    <col min="15897" max="15898" width="3.625" style="3" customWidth="1"/>
    <col min="15899" max="15899" width="5.625" style="3" customWidth="1"/>
    <col min="15900" max="15900" width="6.625" style="3" customWidth="1"/>
    <col min="15901" max="16128" width="9" style="3"/>
    <col min="16129" max="16129" width="3.625" style="3" customWidth="1"/>
    <col min="16130" max="16131" width="10.125" style="3" customWidth="1"/>
    <col min="16132" max="16132" width="5.625" style="3" customWidth="1"/>
    <col min="16133" max="16133" width="5.25" style="3" customWidth="1"/>
    <col min="16134" max="16134" width="8.125" style="3" customWidth="1"/>
    <col min="16135" max="16135" width="1.625" style="3" customWidth="1"/>
    <col min="16136" max="16136" width="4.625" style="3" customWidth="1"/>
    <col min="16137" max="16137" width="1.625" style="3" customWidth="1"/>
    <col min="16138" max="16138" width="4.625" style="3" customWidth="1"/>
    <col min="16139" max="16139" width="1.625" style="3" customWidth="1"/>
    <col min="16140" max="16140" width="8.625" style="3" customWidth="1"/>
    <col min="16141" max="16143" width="0" style="3" hidden="1" customWidth="1"/>
    <col min="16144" max="16144" width="10.25" style="3" customWidth="1"/>
    <col min="16145" max="16145" width="6.625" style="3" customWidth="1"/>
    <col min="16146" max="16146" width="9.625" style="3" customWidth="1"/>
    <col min="16147" max="16148" width="6.625" style="3" customWidth="1"/>
    <col min="16149" max="16149" width="7.125" style="3" customWidth="1"/>
    <col min="16150" max="16150" width="11.625" style="3" customWidth="1"/>
    <col min="16151" max="16151" width="9.625" style="3" customWidth="1"/>
    <col min="16152" max="16152" width="0" style="3" hidden="1" customWidth="1"/>
    <col min="16153" max="16154" width="3.625" style="3" customWidth="1"/>
    <col min="16155" max="16155" width="5.625" style="3" customWidth="1"/>
    <col min="16156" max="16156" width="6.625" style="3" customWidth="1"/>
    <col min="16157" max="16384" width="9" style="3"/>
  </cols>
  <sheetData>
    <row r="1" spans="1:31" ht="14.25" x14ac:dyDescent="0.15">
      <c r="A1" s="373" t="s">
        <v>179</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129"/>
      <c r="AC1" s="129"/>
      <c r="AD1" s="129"/>
      <c r="AE1" s="129"/>
    </row>
    <row r="2" spans="1:31" ht="14.25" x14ac:dyDescent="0.15">
      <c r="A2" s="1"/>
      <c r="B2" s="291"/>
      <c r="C2" s="291"/>
      <c r="D2" s="1"/>
      <c r="E2" s="1"/>
      <c r="F2" s="1"/>
      <c r="G2" s="1"/>
      <c r="H2" s="1"/>
      <c r="I2" s="1"/>
      <c r="J2" s="1"/>
      <c r="K2" s="1"/>
      <c r="L2" s="1"/>
      <c r="M2" s="1"/>
      <c r="N2" s="1"/>
      <c r="O2" s="1"/>
      <c r="P2" s="1"/>
      <c r="Q2" s="1"/>
      <c r="R2" s="1"/>
      <c r="S2" s="1"/>
      <c r="T2" s="1"/>
      <c r="U2" s="1"/>
      <c r="V2" s="1"/>
      <c r="W2" s="1"/>
      <c r="X2" s="1"/>
      <c r="Y2" s="1"/>
      <c r="Z2" s="1"/>
      <c r="AA2" s="1"/>
      <c r="AB2" s="129"/>
      <c r="AC2" s="129"/>
      <c r="AD2" s="129"/>
      <c r="AE2" s="129"/>
    </row>
    <row r="3" spans="1:31" ht="24" x14ac:dyDescent="0.15">
      <c r="B3" s="292" t="s">
        <v>180</v>
      </c>
      <c r="C3" s="706" t="s">
        <v>181</v>
      </c>
      <c r="D3" s="706"/>
      <c r="E3" s="706"/>
      <c r="F3" s="706"/>
      <c r="H3" s="212"/>
      <c r="I3" s="212"/>
      <c r="K3" s="132"/>
      <c r="L3" s="707" t="s">
        <v>182</v>
      </c>
      <c r="M3" s="707"/>
      <c r="N3" s="707"/>
      <c r="O3" s="707"/>
      <c r="P3" s="707"/>
      <c r="Q3" s="707"/>
      <c r="R3" s="707"/>
      <c r="S3" s="707"/>
      <c r="T3" s="707"/>
      <c r="U3" s="707"/>
    </row>
    <row r="4" spans="1:31" ht="14.25" x14ac:dyDescent="0.15">
      <c r="B4" s="292" t="s">
        <v>37</v>
      </c>
      <c r="C4" s="708">
        <v>60107</v>
      </c>
      <c r="D4" s="708"/>
      <c r="E4" s="708"/>
      <c r="F4" s="708"/>
      <c r="G4" s="213"/>
      <c r="H4" s="213"/>
      <c r="I4" s="9"/>
      <c r="J4" s="130"/>
      <c r="K4" s="130"/>
    </row>
    <row r="5" spans="1:31" ht="14.25" thickBot="1" x14ac:dyDescent="0.2">
      <c r="C5" s="294"/>
      <c r="D5" s="9"/>
      <c r="E5" s="9"/>
      <c r="F5" s="9"/>
      <c r="G5" s="9"/>
      <c r="H5" s="9"/>
      <c r="I5" s="9"/>
      <c r="J5" s="130"/>
      <c r="K5" s="130"/>
    </row>
    <row r="6" spans="1:31" s="134" customFormat="1" ht="13.5" customHeight="1" x14ac:dyDescent="0.15">
      <c r="A6" s="709" t="s">
        <v>91</v>
      </c>
      <c r="B6" s="711" t="s">
        <v>163</v>
      </c>
      <c r="C6" s="712"/>
      <c r="D6" s="715" t="s">
        <v>93</v>
      </c>
      <c r="E6" s="716"/>
      <c r="F6" s="717" t="s">
        <v>148</v>
      </c>
      <c r="G6" s="715" t="s">
        <v>94</v>
      </c>
      <c r="H6" s="718"/>
      <c r="I6" s="718"/>
      <c r="J6" s="716"/>
      <c r="K6" s="719" t="s">
        <v>95</v>
      </c>
      <c r="L6" s="720"/>
      <c r="M6" s="711" t="s">
        <v>149</v>
      </c>
      <c r="N6" s="726"/>
      <c r="O6" s="712"/>
      <c r="P6" s="725" t="s">
        <v>150</v>
      </c>
      <c r="Q6" s="725" t="s">
        <v>94</v>
      </c>
      <c r="R6" s="725" t="s">
        <v>95</v>
      </c>
      <c r="S6" s="711" t="s">
        <v>151</v>
      </c>
      <c r="T6" s="712"/>
      <c r="U6" s="723" t="s">
        <v>152</v>
      </c>
      <c r="V6" s="723" t="s">
        <v>153</v>
      </c>
      <c r="W6" s="725" t="s">
        <v>100</v>
      </c>
      <c r="X6" s="725" t="s">
        <v>101</v>
      </c>
      <c r="Y6" s="711" t="s">
        <v>154</v>
      </c>
      <c r="Z6" s="726"/>
      <c r="AA6" s="727"/>
    </row>
    <row r="7" spans="1:31" s="134" customFormat="1" ht="14.25" customHeight="1" thickBot="1" x14ac:dyDescent="0.2">
      <c r="A7" s="710"/>
      <c r="B7" s="713"/>
      <c r="C7" s="714"/>
      <c r="D7" s="554"/>
      <c r="E7" s="611"/>
      <c r="F7" s="553"/>
      <c r="G7" s="554" t="s">
        <v>19</v>
      </c>
      <c r="H7" s="611"/>
      <c r="I7" s="554" t="s">
        <v>20</v>
      </c>
      <c r="J7" s="611"/>
      <c r="K7" s="721"/>
      <c r="L7" s="722"/>
      <c r="M7" s="713"/>
      <c r="N7" s="728"/>
      <c r="O7" s="714"/>
      <c r="P7" s="544"/>
      <c r="Q7" s="544"/>
      <c r="R7" s="544"/>
      <c r="S7" s="713"/>
      <c r="T7" s="714"/>
      <c r="U7" s="724"/>
      <c r="V7" s="724"/>
      <c r="W7" s="544"/>
      <c r="X7" s="544"/>
      <c r="Y7" s="713"/>
      <c r="Z7" s="728"/>
      <c r="AA7" s="729"/>
    </row>
    <row r="8" spans="1:31" s="16" customFormat="1" ht="26.1" customHeight="1" thickTop="1" x14ac:dyDescent="0.15">
      <c r="A8" s="295"/>
      <c r="B8" s="695"/>
      <c r="C8" s="696"/>
      <c r="D8" s="697"/>
      <c r="E8" s="698"/>
      <c r="F8" s="296"/>
      <c r="G8" s="699"/>
      <c r="H8" s="700"/>
      <c r="I8" s="699"/>
      <c r="J8" s="700"/>
      <c r="K8" s="701"/>
      <c r="L8" s="702"/>
      <c r="M8" s="703"/>
      <c r="N8" s="704"/>
      <c r="O8" s="705"/>
      <c r="P8" s="297"/>
      <c r="Q8" s="298"/>
      <c r="R8" s="299"/>
      <c r="S8" s="690"/>
      <c r="T8" s="691"/>
      <c r="U8" s="300"/>
      <c r="V8" s="301"/>
      <c r="W8" s="301"/>
      <c r="X8" s="301"/>
      <c r="Y8" s="692"/>
      <c r="Z8" s="693"/>
      <c r="AA8" s="694"/>
    </row>
    <row r="9" spans="1:31" s="16" customFormat="1" ht="26.1" customHeight="1" x14ac:dyDescent="0.15">
      <c r="A9" s="302"/>
      <c r="B9" s="568"/>
      <c r="C9" s="569"/>
      <c r="D9" s="596"/>
      <c r="E9" s="597"/>
      <c r="F9" s="228"/>
      <c r="G9" s="567"/>
      <c r="H9" s="571"/>
      <c r="I9" s="567"/>
      <c r="J9" s="571"/>
      <c r="K9" s="529"/>
      <c r="L9" s="572"/>
      <c r="M9" s="513"/>
      <c r="N9" s="573"/>
      <c r="O9" s="574"/>
      <c r="P9" s="270"/>
      <c r="Q9" s="233"/>
      <c r="R9" s="234"/>
      <c r="S9" s="626"/>
      <c r="T9" s="627"/>
      <c r="U9" s="235"/>
      <c r="V9" s="236"/>
      <c r="W9" s="236"/>
      <c r="X9" s="236"/>
      <c r="Y9" s="515"/>
      <c r="Z9" s="516"/>
      <c r="AA9" s="673"/>
    </row>
    <row r="10" spans="1:31" s="16" customFormat="1" ht="26.1" customHeight="1" x14ac:dyDescent="0.15">
      <c r="A10" s="302"/>
      <c r="B10" s="568"/>
      <c r="C10" s="569"/>
      <c r="D10" s="596"/>
      <c r="E10" s="597"/>
      <c r="F10" s="228"/>
      <c r="G10" s="567"/>
      <c r="H10" s="571"/>
      <c r="I10" s="567"/>
      <c r="J10" s="571"/>
      <c r="K10" s="529"/>
      <c r="L10" s="572"/>
      <c r="M10" s="230"/>
      <c r="N10" s="239"/>
      <c r="O10" s="240"/>
      <c r="P10" s="270"/>
      <c r="Q10" s="233"/>
      <c r="R10" s="234"/>
      <c r="S10" s="626"/>
      <c r="T10" s="627"/>
      <c r="U10" s="235"/>
      <c r="V10" s="236"/>
      <c r="W10" s="236"/>
      <c r="X10" s="236"/>
      <c r="Y10" s="515"/>
      <c r="Z10" s="516"/>
      <c r="AA10" s="673"/>
    </row>
    <row r="11" spans="1:31" s="16" customFormat="1" ht="26.1" customHeight="1" x14ac:dyDescent="0.15">
      <c r="A11" s="302"/>
      <c r="B11" s="568"/>
      <c r="C11" s="569"/>
      <c r="D11" s="596"/>
      <c r="E11" s="597"/>
      <c r="F11" s="228"/>
      <c r="G11" s="567"/>
      <c r="H11" s="571"/>
      <c r="I11" s="567"/>
      <c r="J11" s="571"/>
      <c r="K11" s="529"/>
      <c r="L11" s="572"/>
      <c r="M11" s="230"/>
      <c r="N11" s="239"/>
      <c r="O11" s="240"/>
      <c r="P11" s="270"/>
      <c r="Q11" s="233"/>
      <c r="R11" s="234"/>
      <c r="S11" s="626"/>
      <c r="T11" s="627"/>
      <c r="U11" s="235"/>
      <c r="V11" s="236"/>
      <c r="W11" s="236"/>
      <c r="X11" s="236"/>
      <c r="Y11" s="515"/>
      <c r="Z11" s="516"/>
      <c r="AA11" s="673"/>
    </row>
    <row r="12" spans="1:31" s="16" customFormat="1" ht="26.1" customHeight="1" x14ac:dyDescent="0.15">
      <c r="A12" s="302"/>
      <c r="B12" s="568"/>
      <c r="C12" s="569"/>
      <c r="D12" s="596"/>
      <c r="E12" s="597"/>
      <c r="F12" s="228"/>
      <c r="G12" s="567"/>
      <c r="H12" s="571"/>
      <c r="I12" s="567"/>
      <c r="J12" s="571"/>
      <c r="K12" s="529"/>
      <c r="L12" s="572"/>
      <c r="M12" s="230"/>
      <c r="N12" s="239"/>
      <c r="O12" s="240"/>
      <c r="P12" s="270"/>
      <c r="Q12" s="233"/>
      <c r="R12" s="234"/>
      <c r="S12" s="626"/>
      <c r="T12" s="627"/>
      <c r="U12" s="235"/>
      <c r="V12" s="236"/>
      <c r="W12" s="236"/>
      <c r="X12" s="236"/>
      <c r="Y12" s="515"/>
      <c r="Z12" s="516"/>
      <c r="AA12" s="673"/>
    </row>
    <row r="13" spans="1:31" s="16" customFormat="1" ht="26.1" customHeight="1" x14ac:dyDescent="0.15">
      <c r="A13" s="302"/>
      <c r="B13" s="568"/>
      <c r="C13" s="569"/>
      <c r="D13" s="596"/>
      <c r="E13" s="597"/>
      <c r="F13" s="228"/>
      <c r="G13" s="567"/>
      <c r="H13" s="571"/>
      <c r="I13" s="567"/>
      <c r="J13" s="571"/>
      <c r="K13" s="529"/>
      <c r="L13" s="572"/>
      <c r="M13" s="230"/>
      <c r="N13" s="239"/>
      <c r="O13" s="240"/>
      <c r="P13" s="270"/>
      <c r="Q13" s="233"/>
      <c r="R13" s="234"/>
      <c r="S13" s="626"/>
      <c r="T13" s="627"/>
      <c r="U13" s="235"/>
      <c r="V13" s="236"/>
      <c r="W13" s="236"/>
      <c r="X13" s="236"/>
      <c r="Y13" s="515"/>
      <c r="Z13" s="516"/>
      <c r="AA13" s="673"/>
    </row>
    <row r="14" spans="1:31" s="16" customFormat="1" ht="26.1" customHeight="1" x14ac:dyDescent="0.15">
      <c r="A14" s="302"/>
      <c r="B14" s="568"/>
      <c r="C14" s="569"/>
      <c r="D14" s="596"/>
      <c r="E14" s="597"/>
      <c r="F14" s="228"/>
      <c r="G14" s="567"/>
      <c r="H14" s="571"/>
      <c r="I14" s="567"/>
      <c r="J14" s="571"/>
      <c r="K14" s="529"/>
      <c r="L14" s="572"/>
      <c r="M14" s="230"/>
      <c r="N14" s="239"/>
      <c r="O14" s="240"/>
      <c r="P14" s="270"/>
      <c r="Q14" s="233"/>
      <c r="R14" s="234"/>
      <c r="S14" s="626"/>
      <c r="T14" s="627"/>
      <c r="U14" s="235"/>
      <c r="V14" s="236"/>
      <c r="W14" s="236"/>
      <c r="X14" s="236"/>
      <c r="Y14" s="515"/>
      <c r="Z14" s="516"/>
      <c r="AA14" s="673"/>
    </row>
    <row r="15" spans="1:31" s="16" customFormat="1" ht="26.1" customHeight="1" x14ac:dyDescent="0.15">
      <c r="A15" s="302"/>
      <c r="B15" s="568"/>
      <c r="C15" s="569"/>
      <c r="D15" s="596"/>
      <c r="E15" s="597"/>
      <c r="F15" s="228"/>
      <c r="G15" s="567"/>
      <c r="H15" s="571"/>
      <c r="I15" s="567"/>
      <c r="J15" s="571"/>
      <c r="K15" s="529"/>
      <c r="L15" s="572"/>
      <c r="M15" s="230"/>
      <c r="N15" s="239"/>
      <c r="O15" s="240"/>
      <c r="P15" s="270"/>
      <c r="Q15" s="233"/>
      <c r="R15" s="234"/>
      <c r="S15" s="626"/>
      <c r="T15" s="627"/>
      <c r="U15" s="235"/>
      <c r="V15" s="236"/>
      <c r="W15" s="236"/>
      <c r="X15" s="236"/>
      <c r="Y15" s="515"/>
      <c r="Z15" s="516"/>
      <c r="AA15" s="673"/>
    </row>
    <row r="16" spans="1:31" s="16" customFormat="1" ht="26.1" customHeight="1" x14ac:dyDescent="0.15">
      <c r="A16" s="302"/>
      <c r="B16" s="568"/>
      <c r="C16" s="569"/>
      <c r="D16" s="596"/>
      <c r="E16" s="597"/>
      <c r="F16" s="228"/>
      <c r="G16" s="567"/>
      <c r="H16" s="571"/>
      <c r="I16" s="567"/>
      <c r="J16" s="571"/>
      <c r="K16" s="529"/>
      <c r="L16" s="572"/>
      <c r="M16" s="230"/>
      <c r="N16" s="239"/>
      <c r="O16" s="240"/>
      <c r="P16" s="270"/>
      <c r="Q16" s="233"/>
      <c r="R16" s="234"/>
      <c r="S16" s="626"/>
      <c r="T16" s="627"/>
      <c r="U16" s="235"/>
      <c r="V16" s="236"/>
      <c r="W16" s="236"/>
      <c r="X16" s="236"/>
      <c r="Y16" s="515"/>
      <c r="Z16" s="516"/>
      <c r="AA16" s="673"/>
    </row>
    <row r="17" spans="1:31" s="16" customFormat="1" ht="26.1" customHeight="1" x14ac:dyDescent="0.15">
      <c r="A17" s="302"/>
      <c r="B17" s="568"/>
      <c r="C17" s="569"/>
      <c r="D17" s="596"/>
      <c r="E17" s="597"/>
      <c r="F17" s="228"/>
      <c r="G17" s="567"/>
      <c r="H17" s="571"/>
      <c r="I17" s="567"/>
      <c r="J17" s="571"/>
      <c r="K17" s="529"/>
      <c r="L17" s="572"/>
      <c r="M17" s="230"/>
      <c r="N17" s="239"/>
      <c r="O17" s="240"/>
      <c r="P17" s="270"/>
      <c r="Q17" s="233"/>
      <c r="R17" s="234"/>
      <c r="S17" s="626"/>
      <c r="T17" s="627"/>
      <c r="U17" s="235"/>
      <c r="V17" s="236"/>
      <c r="W17" s="236"/>
      <c r="X17" s="236"/>
      <c r="Y17" s="515"/>
      <c r="Z17" s="516"/>
      <c r="AA17" s="673"/>
    </row>
    <row r="18" spans="1:31" s="16" customFormat="1" ht="26.1" customHeight="1" x14ac:dyDescent="0.15">
      <c r="A18" s="302"/>
      <c r="B18" s="568"/>
      <c r="C18" s="569"/>
      <c r="D18" s="596"/>
      <c r="E18" s="597"/>
      <c r="F18" s="228"/>
      <c r="G18" s="567"/>
      <c r="H18" s="571"/>
      <c r="I18" s="567"/>
      <c r="J18" s="571"/>
      <c r="K18" s="529"/>
      <c r="L18" s="572"/>
      <c r="M18" s="230"/>
      <c r="N18" s="239"/>
      <c r="O18" s="240"/>
      <c r="P18" s="270"/>
      <c r="Q18" s="233"/>
      <c r="R18" s="234"/>
      <c r="S18" s="626"/>
      <c r="T18" s="627"/>
      <c r="U18" s="235"/>
      <c r="V18" s="236"/>
      <c r="W18" s="236"/>
      <c r="X18" s="236"/>
      <c r="Y18" s="515"/>
      <c r="Z18" s="516"/>
      <c r="AA18" s="673"/>
    </row>
    <row r="19" spans="1:31" s="16" customFormat="1" ht="26.1" customHeight="1" x14ac:dyDescent="0.15">
      <c r="A19" s="302"/>
      <c r="B19" s="568"/>
      <c r="C19" s="569"/>
      <c r="D19" s="596"/>
      <c r="E19" s="597"/>
      <c r="F19" s="228"/>
      <c r="G19" s="567"/>
      <c r="H19" s="571"/>
      <c r="I19" s="567"/>
      <c r="J19" s="571"/>
      <c r="K19" s="529"/>
      <c r="L19" s="572"/>
      <c r="M19" s="230"/>
      <c r="N19" s="239"/>
      <c r="O19" s="240"/>
      <c r="P19" s="270"/>
      <c r="Q19" s="233"/>
      <c r="R19" s="234"/>
      <c r="S19" s="626"/>
      <c r="T19" s="627"/>
      <c r="U19" s="235"/>
      <c r="V19" s="236"/>
      <c r="W19" s="236"/>
      <c r="X19" s="236"/>
      <c r="Y19" s="515"/>
      <c r="Z19" s="516"/>
      <c r="AA19" s="673"/>
    </row>
    <row r="20" spans="1:31" s="16" customFormat="1" ht="26.1" customHeight="1" x14ac:dyDescent="0.15">
      <c r="A20" s="302"/>
      <c r="B20" s="568"/>
      <c r="C20" s="569"/>
      <c r="D20" s="596"/>
      <c r="E20" s="597"/>
      <c r="F20" s="228"/>
      <c r="G20" s="567"/>
      <c r="H20" s="571"/>
      <c r="I20" s="567"/>
      <c r="J20" s="571"/>
      <c r="K20" s="529"/>
      <c r="L20" s="572"/>
      <c r="M20" s="230"/>
      <c r="N20" s="239"/>
      <c r="O20" s="240"/>
      <c r="P20" s="270"/>
      <c r="Q20" s="233"/>
      <c r="R20" s="234"/>
      <c r="S20" s="626"/>
      <c r="T20" s="627"/>
      <c r="U20" s="235"/>
      <c r="V20" s="236"/>
      <c r="W20" s="236"/>
      <c r="X20" s="236"/>
      <c r="Y20" s="515"/>
      <c r="Z20" s="516"/>
      <c r="AA20" s="673"/>
    </row>
    <row r="21" spans="1:31" s="16" customFormat="1" ht="26.1" customHeight="1" x14ac:dyDescent="0.15">
      <c r="A21" s="302"/>
      <c r="B21" s="568"/>
      <c r="C21" s="569"/>
      <c r="D21" s="596"/>
      <c r="E21" s="597"/>
      <c r="F21" s="228"/>
      <c r="G21" s="567"/>
      <c r="H21" s="571"/>
      <c r="I21" s="567"/>
      <c r="J21" s="571"/>
      <c r="K21" s="529"/>
      <c r="L21" s="572"/>
      <c r="M21" s="230"/>
      <c r="N21" s="239"/>
      <c r="O21" s="240"/>
      <c r="P21" s="270"/>
      <c r="Q21" s="233"/>
      <c r="R21" s="234"/>
      <c r="S21" s="626"/>
      <c r="T21" s="627"/>
      <c r="U21" s="235"/>
      <c r="V21" s="236"/>
      <c r="W21" s="236"/>
      <c r="X21" s="236"/>
      <c r="Y21" s="515"/>
      <c r="Z21" s="516"/>
      <c r="AA21" s="673"/>
    </row>
    <row r="22" spans="1:31" s="16" customFormat="1" ht="26.1" customHeight="1" x14ac:dyDescent="0.15">
      <c r="A22" s="302"/>
      <c r="B22" s="568"/>
      <c r="C22" s="569"/>
      <c r="D22" s="596"/>
      <c r="E22" s="597"/>
      <c r="F22" s="228"/>
      <c r="G22" s="567"/>
      <c r="H22" s="571"/>
      <c r="I22" s="567"/>
      <c r="J22" s="571"/>
      <c r="K22" s="529"/>
      <c r="L22" s="572"/>
      <c r="M22" s="230"/>
      <c r="N22" s="239"/>
      <c r="O22" s="240"/>
      <c r="P22" s="270"/>
      <c r="Q22" s="233"/>
      <c r="R22" s="234"/>
      <c r="S22" s="626"/>
      <c r="T22" s="627"/>
      <c r="U22" s="235"/>
      <c r="V22" s="236"/>
      <c r="W22" s="236"/>
      <c r="X22" s="236"/>
      <c r="Y22" s="515"/>
      <c r="Z22" s="516"/>
      <c r="AA22" s="673"/>
    </row>
    <row r="23" spans="1:31" s="16" customFormat="1" ht="26.1" customHeight="1" x14ac:dyDescent="0.15">
      <c r="A23" s="302"/>
      <c r="B23" s="568"/>
      <c r="C23" s="569"/>
      <c r="D23" s="596"/>
      <c r="E23" s="597"/>
      <c r="F23" s="228"/>
      <c r="G23" s="567"/>
      <c r="H23" s="571"/>
      <c r="I23" s="567"/>
      <c r="J23" s="571"/>
      <c r="K23" s="529"/>
      <c r="L23" s="572"/>
      <c r="M23" s="230"/>
      <c r="N23" s="239"/>
      <c r="O23" s="240"/>
      <c r="P23" s="270"/>
      <c r="Q23" s="233"/>
      <c r="R23" s="234"/>
      <c r="S23" s="626"/>
      <c r="T23" s="627"/>
      <c r="U23" s="235"/>
      <c r="V23" s="236"/>
      <c r="W23" s="236"/>
      <c r="X23" s="236"/>
      <c r="Y23" s="515"/>
      <c r="Z23" s="516"/>
      <c r="AA23" s="673"/>
    </row>
    <row r="24" spans="1:31" s="16" customFormat="1" ht="26.1" customHeight="1" x14ac:dyDescent="0.15">
      <c r="A24" s="302"/>
      <c r="B24" s="568"/>
      <c r="C24" s="569"/>
      <c r="D24" s="596"/>
      <c r="E24" s="597"/>
      <c r="F24" s="228"/>
      <c r="G24" s="567"/>
      <c r="H24" s="571"/>
      <c r="I24" s="567"/>
      <c r="J24" s="571"/>
      <c r="K24" s="529"/>
      <c r="L24" s="572"/>
      <c r="M24" s="230"/>
      <c r="N24" s="239"/>
      <c r="O24" s="240"/>
      <c r="P24" s="270"/>
      <c r="Q24" s="233"/>
      <c r="R24" s="234"/>
      <c r="S24" s="626"/>
      <c r="T24" s="627"/>
      <c r="U24" s="235"/>
      <c r="V24" s="236"/>
      <c r="W24" s="236"/>
      <c r="X24" s="236"/>
      <c r="Y24" s="515"/>
      <c r="Z24" s="516"/>
      <c r="AA24" s="673"/>
    </row>
    <row r="25" spans="1:31" s="16" customFormat="1" ht="26.1" customHeight="1" x14ac:dyDescent="0.15">
      <c r="A25" s="302"/>
      <c r="B25" s="568"/>
      <c r="C25" s="569"/>
      <c r="D25" s="596"/>
      <c r="E25" s="597"/>
      <c r="F25" s="228"/>
      <c r="G25" s="567"/>
      <c r="H25" s="571"/>
      <c r="I25" s="567"/>
      <c r="J25" s="571"/>
      <c r="K25" s="529"/>
      <c r="L25" s="572"/>
      <c r="M25" s="230"/>
      <c r="N25" s="239"/>
      <c r="O25" s="240"/>
      <c r="P25" s="270"/>
      <c r="Q25" s="233"/>
      <c r="R25" s="234"/>
      <c r="S25" s="626"/>
      <c r="T25" s="627"/>
      <c r="U25" s="235"/>
      <c r="V25" s="236"/>
      <c r="W25" s="236"/>
      <c r="X25" s="236"/>
      <c r="Y25" s="515"/>
      <c r="Z25" s="516"/>
      <c r="AA25" s="673"/>
    </row>
    <row r="26" spans="1:31" s="16" customFormat="1" ht="26.1" customHeight="1" x14ac:dyDescent="0.15">
      <c r="A26" s="302"/>
      <c r="B26" s="568"/>
      <c r="C26" s="569"/>
      <c r="D26" s="596"/>
      <c r="E26" s="597"/>
      <c r="F26" s="228"/>
      <c r="G26" s="567"/>
      <c r="H26" s="571"/>
      <c r="I26" s="567"/>
      <c r="J26" s="571"/>
      <c r="K26" s="529"/>
      <c r="L26" s="572"/>
      <c r="M26" s="230"/>
      <c r="N26" s="239"/>
      <c r="O26" s="240"/>
      <c r="P26" s="270"/>
      <c r="Q26" s="233"/>
      <c r="R26" s="234"/>
      <c r="S26" s="626"/>
      <c r="T26" s="627"/>
      <c r="U26" s="235"/>
      <c r="V26" s="236"/>
      <c r="W26" s="236"/>
      <c r="X26" s="236"/>
      <c r="Y26" s="515"/>
      <c r="Z26" s="516"/>
      <c r="AA26" s="673"/>
    </row>
    <row r="27" spans="1:31" s="16" customFormat="1" ht="26.1" customHeight="1" thickBot="1" x14ac:dyDescent="0.2">
      <c r="A27" s="304"/>
      <c r="B27" s="674"/>
      <c r="C27" s="675"/>
      <c r="D27" s="676"/>
      <c r="E27" s="677"/>
      <c r="F27" s="305"/>
      <c r="G27" s="678"/>
      <c r="H27" s="679"/>
      <c r="I27" s="678"/>
      <c r="J27" s="679"/>
      <c r="K27" s="680"/>
      <c r="L27" s="681"/>
      <c r="M27" s="306"/>
      <c r="N27" s="307"/>
      <c r="O27" s="308"/>
      <c r="P27" s="309"/>
      <c r="Q27" s="310"/>
      <c r="R27" s="311"/>
      <c r="S27" s="685"/>
      <c r="T27" s="686"/>
      <c r="U27" s="312"/>
      <c r="V27" s="313"/>
      <c r="W27" s="313"/>
      <c r="X27" s="313"/>
      <c r="Y27" s="687"/>
      <c r="Z27" s="688"/>
      <c r="AA27" s="689"/>
    </row>
    <row r="28" spans="1:31" ht="14.25" x14ac:dyDescent="0.15">
      <c r="A28" s="373" t="s">
        <v>137</v>
      </c>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129"/>
      <c r="AC28" s="129"/>
      <c r="AD28" s="129"/>
      <c r="AE28" s="129"/>
    </row>
    <row r="29" spans="1:31" ht="14.25" x14ac:dyDescent="0.15">
      <c r="A29" s="1"/>
      <c r="B29" s="291"/>
      <c r="C29" s="291"/>
      <c r="D29" s="1"/>
      <c r="E29" s="1"/>
      <c r="F29" s="1"/>
      <c r="G29" s="1"/>
      <c r="H29" s="1"/>
      <c r="I29" s="1"/>
      <c r="J29" s="1"/>
      <c r="K29" s="1"/>
      <c r="L29" s="1"/>
      <c r="M29" s="1"/>
      <c r="N29" s="1"/>
      <c r="O29" s="1"/>
      <c r="P29" s="1"/>
      <c r="Q29" s="1"/>
      <c r="R29" s="1"/>
      <c r="S29" s="1"/>
      <c r="T29" s="1"/>
      <c r="U29" s="1"/>
      <c r="V29" s="1"/>
      <c r="W29" s="1"/>
      <c r="X29" s="1"/>
      <c r="Y29" s="1"/>
      <c r="Z29" s="1"/>
      <c r="AA29" s="1"/>
      <c r="AB29" s="129"/>
      <c r="AC29" s="129"/>
      <c r="AD29" s="129"/>
      <c r="AE29" s="129"/>
    </row>
    <row r="30" spans="1:31" ht="24" x14ac:dyDescent="0.15">
      <c r="B30" s="292" t="s">
        <v>180</v>
      </c>
      <c r="C30" s="706" t="str">
        <f>C3</f>
        <v>石川　政信</v>
      </c>
      <c r="D30" s="706"/>
      <c r="E30" s="706"/>
      <c r="F30" s="706"/>
      <c r="H30" s="212"/>
      <c r="I30" s="212"/>
      <c r="K30" s="132"/>
      <c r="L30" s="707" t="s">
        <v>182</v>
      </c>
      <c r="M30" s="707"/>
      <c r="N30" s="707"/>
      <c r="O30" s="707"/>
      <c r="P30" s="707"/>
      <c r="Q30" s="707"/>
      <c r="R30" s="707"/>
      <c r="S30" s="707"/>
      <c r="T30" s="707"/>
      <c r="U30" s="707"/>
    </row>
    <row r="31" spans="1:31" ht="14.25" x14ac:dyDescent="0.15">
      <c r="B31" s="292" t="s">
        <v>37</v>
      </c>
      <c r="C31" s="708">
        <f>C4</f>
        <v>60107</v>
      </c>
      <c r="D31" s="708"/>
      <c r="E31" s="708"/>
      <c r="F31" s="708"/>
      <c r="G31" s="213"/>
      <c r="H31" s="213"/>
      <c r="I31" s="9"/>
      <c r="J31" s="130"/>
      <c r="K31" s="130"/>
    </row>
    <row r="32" spans="1:31" ht="14.25" thickBot="1" x14ac:dyDescent="0.2">
      <c r="C32" s="294"/>
      <c r="D32" s="9"/>
      <c r="E32" s="9"/>
      <c r="F32" s="9"/>
      <c r="G32" s="9"/>
      <c r="H32" s="9"/>
      <c r="I32" s="9"/>
      <c r="J32" s="130"/>
      <c r="K32" s="130"/>
    </row>
    <row r="33" spans="1:27" s="134" customFormat="1" ht="13.5" customHeight="1" x14ac:dyDescent="0.15">
      <c r="A33" s="709" t="s">
        <v>91</v>
      </c>
      <c r="B33" s="711" t="s">
        <v>163</v>
      </c>
      <c r="C33" s="712"/>
      <c r="D33" s="715" t="s">
        <v>93</v>
      </c>
      <c r="E33" s="716"/>
      <c r="F33" s="717" t="s">
        <v>148</v>
      </c>
      <c r="G33" s="715" t="s">
        <v>94</v>
      </c>
      <c r="H33" s="718"/>
      <c r="I33" s="718"/>
      <c r="J33" s="716"/>
      <c r="K33" s="719" t="s">
        <v>95</v>
      </c>
      <c r="L33" s="720"/>
      <c r="M33" s="711" t="s">
        <v>149</v>
      </c>
      <c r="N33" s="726"/>
      <c r="O33" s="712"/>
      <c r="P33" s="725" t="s">
        <v>150</v>
      </c>
      <c r="Q33" s="725" t="s">
        <v>94</v>
      </c>
      <c r="R33" s="725" t="s">
        <v>95</v>
      </c>
      <c r="S33" s="711" t="s">
        <v>151</v>
      </c>
      <c r="T33" s="712"/>
      <c r="U33" s="723" t="s">
        <v>152</v>
      </c>
      <c r="V33" s="723" t="s">
        <v>153</v>
      </c>
      <c r="W33" s="725" t="s">
        <v>100</v>
      </c>
      <c r="X33" s="725" t="s">
        <v>101</v>
      </c>
      <c r="Y33" s="711" t="s">
        <v>154</v>
      </c>
      <c r="Z33" s="726"/>
      <c r="AA33" s="727"/>
    </row>
    <row r="34" spans="1:27" s="134" customFormat="1" ht="14.25" customHeight="1" thickBot="1" x14ac:dyDescent="0.2">
      <c r="A34" s="710"/>
      <c r="B34" s="713"/>
      <c r="C34" s="714"/>
      <c r="D34" s="554"/>
      <c r="E34" s="611"/>
      <c r="F34" s="553"/>
      <c r="G34" s="554" t="s">
        <v>19</v>
      </c>
      <c r="H34" s="611"/>
      <c r="I34" s="554" t="s">
        <v>20</v>
      </c>
      <c r="J34" s="611"/>
      <c r="K34" s="721"/>
      <c r="L34" s="722"/>
      <c r="M34" s="713"/>
      <c r="N34" s="728"/>
      <c r="O34" s="714"/>
      <c r="P34" s="544"/>
      <c r="Q34" s="544"/>
      <c r="R34" s="544"/>
      <c r="S34" s="713"/>
      <c r="T34" s="714"/>
      <c r="U34" s="724"/>
      <c r="V34" s="724"/>
      <c r="W34" s="544"/>
      <c r="X34" s="544"/>
      <c r="Y34" s="713"/>
      <c r="Z34" s="728"/>
      <c r="AA34" s="729"/>
    </row>
    <row r="35" spans="1:27" s="16" customFormat="1" ht="26.1" customHeight="1" thickTop="1" x14ac:dyDescent="0.15">
      <c r="A35" s="295"/>
      <c r="B35" s="695"/>
      <c r="C35" s="696"/>
      <c r="D35" s="697"/>
      <c r="E35" s="698"/>
      <c r="F35" s="296"/>
      <c r="G35" s="699"/>
      <c r="H35" s="700"/>
      <c r="I35" s="699"/>
      <c r="J35" s="700"/>
      <c r="K35" s="701"/>
      <c r="L35" s="702"/>
      <c r="M35" s="703"/>
      <c r="N35" s="704"/>
      <c r="O35" s="705"/>
      <c r="P35" s="297"/>
      <c r="Q35" s="298"/>
      <c r="R35" s="299"/>
      <c r="S35" s="690"/>
      <c r="T35" s="691"/>
      <c r="U35" s="300"/>
      <c r="V35" s="301"/>
      <c r="W35" s="301"/>
      <c r="X35" s="301"/>
      <c r="Y35" s="692"/>
      <c r="Z35" s="693"/>
      <c r="AA35" s="694"/>
    </row>
    <row r="36" spans="1:27" s="16" customFormat="1" ht="26.1" customHeight="1" x14ac:dyDescent="0.15">
      <c r="A36" s="302"/>
      <c r="B36" s="568"/>
      <c r="C36" s="569"/>
      <c r="D36" s="596"/>
      <c r="E36" s="597"/>
      <c r="F36" s="228"/>
      <c r="G36" s="567"/>
      <c r="H36" s="571"/>
      <c r="I36" s="567"/>
      <c r="J36" s="571"/>
      <c r="K36" s="529"/>
      <c r="L36" s="572"/>
      <c r="M36" s="513"/>
      <c r="N36" s="573"/>
      <c r="O36" s="574"/>
      <c r="P36" s="270"/>
      <c r="Q36" s="233"/>
      <c r="R36" s="234"/>
      <c r="S36" s="626"/>
      <c r="T36" s="627"/>
      <c r="U36" s="235"/>
      <c r="V36" s="236"/>
      <c r="W36" s="236"/>
      <c r="X36" s="236"/>
      <c r="Y36" s="515"/>
      <c r="Z36" s="516"/>
      <c r="AA36" s="673"/>
    </row>
    <row r="37" spans="1:27" s="16" customFormat="1" ht="26.1" customHeight="1" x14ac:dyDescent="0.15">
      <c r="A37" s="302"/>
      <c r="B37" s="568"/>
      <c r="C37" s="569"/>
      <c r="D37" s="596"/>
      <c r="E37" s="597"/>
      <c r="F37" s="228"/>
      <c r="G37" s="567"/>
      <c r="H37" s="571"/>
      <c r="I37" s="567"/>
      <c r="J37" s="571"/>
      <c r="K37" s="529"/>
      <c r="L37" s="572"/>
      <c r="M37" s="513"/>
      <c r="N37" s="573"/>
      <c r="O37" s="574"/>
      <c r="P37" s="270"/>
      <c r="Q37" s="233"/>
      <c r="R37" s="234"/>
      <c r="S37" s="626"/>
      <c r="T37" s="627"/>
      <c r="U37" s="235"/>
      <c r="V37" s="236"/>
      <c r="W37" s="236"/>
      <c r="X37" s="236"/>
      <c r="Y37" s="515"/>
      <c r="Z37" s="516"/>
      <c r="AA37" s="673"/>
    </row>
    <row r="38" spans="1:27" s="16" customFormat="1" ht="26.1" customHeight="1" x14ac:dyDescent="0.15">
      <c r="A38" s="302"/>
      <c r="B38" s="568"/>
      <c r="C38" s="569"/>
      <c r="D38" s="596"/>
      <c r="E38" s="597"/>
      <c r="F38" s="228"/>
      <c r="G38" s="567"/>
      <c r="H38" s="571"/>
      <c r="I38" s="567"/>
      <c r="J38" s="571"/>
      <c r="K38" s="529"/>
      <c r="L38" s="572"/>
      <c r="M38" s="230"/>
      <c r="N38" s="239"/>
      <c r="O38" s="240"/>
      <c r="P38" s="270"/>
      <c r="Q38" s="233"/>
      <c r="R38" s="234"/>
      <c r="S38" s="626"/>
      <c r="T38" s="627"/>
      <c r="U38" s="235"/>
      <c r="V38" s="236"/>
      <c r="W38" s="236"/>
      <c r="X38" s="236"/>
      <c r="Y38" s="515"/>
      <c r="Z38" s="516"/>
      <c r="AA38" s="673"/>
    </row>
    <row r="39" spans="1:27" s="16" customFormat="1" ht="26.1" customHeight="1" x14ac:dyDescent="0.15">
      <c r="A39" s="302"/>
      <c r="B39" s="568"/>
      <c r="C39" s="569"/>
      <c r="D39" s="596"/>
      <c r="E39" s="597"/>
      <c r="F39" s="228"/>
      <c r="G39" s="567"/>
      <c r="H39" s="571"/>
      <c r="I39" s="567"/>
      <c r="J39" s="571"/>
      <c r="K39" s="529"/>
      <c r="L39" s="572"/>
      <c r="M39" s="230"/>
      <c r="N39" s="239"/>
      <c r="O39" s="240"/>
      <c r="P39" s="270"/>
      <c r="Q39" s="233"/>
      <c r="R39" s="234"/>
      <c r="S39" s="626"/>
      <c r="T39" s="627"/>
      <c r="U39" s="235"/>
      <c r="V39" s="236"/>
      <c r="W39" s="236"/>
      <c r="X39" s="236"/>
      <c r="Y39" s="515"/>
      <c r="Z39" s="516"/>
      <c r="AA39" s="673"/>
    </row>
    <row r="40" spans="1:27" s="16" customFormat="1" ht="26.1" customHeight="1" x14ac:dyDescent="0.15">
      <c r="A40" s="302"/>
      <c r="B40" s="568"/>
      <c r="C40" s="569"/>
      <c r="D40" s="596"/>
      <c r="E40" s="597"/>
      <c r="F40" s="228"/>
      <c r="G40" s="567"/>
      <c r="H40" s="571"/>
      <c r="I40" s="567"/>
      <c r="J40" s="571"/>
      <c r="K40" s="529"/>
      <c r="L40" s="572"/>
      <c r="M40" s="230"/>
      <c r="N40" s="239"/>
      <c r="O40" s="240"/>
      <c r="P40" s="270"/>
      <c r="Q40" s="233"/>
      <c r="R40" s="234"/>
      <c r="S40" s="626"/>
      <c r="T40" s="627"/>
      <c r="U40" s="235"/>
      <c r="V40" s="236"/>
      <c r="W40" s="236"/>
      <c r="X40" s="236"/>
      <c r="Y40" s="515"/>
      <c r="Z40" s="516"/>
      <c r="AA40" s="673"/>
    </row>
    <row r="41" spans="1:27" s="16" customFormat="1" ht="26.1" customHeight="1" x14ac:dyDescent="0.15">
      <c r="A41" s="302"/>
      <c r="B41" s="568"/>
      <c r="C41" s="569"/>
      <c r="D41" s="596"/>
      <c r="E41" s="597"/>
      <c r="F41" s="228"/>
      <c r="G41" s="567"/>
      <c r="H41" s="571"/>
      <c r="I41" s="567"/>
      <c r="J41" s="571"/>
      <c r="K41" s="529"/>
      <c r="L41" s="572"/>
      <c r="M41" s="230"/>
      <c r="N41" s="239"/>
      <c r="O41" s="240"/>
      <c r="P41" s="270"/>
      <c r="Q41" s="233"/>
      <c r="R41" s="234"/>
      <c r="S41" s="626"/>
      <c r="T41" s="627"/>
      <c r="U41" s="235"/>
      <c r="V41" s="236"/>
      <c r="W41" s="236"/>
      <c r="X41" s="236"/>
      <c r="Y41" s="515"/>
      <c r="Z41" s="516"/>
      <c r="AA41" s="673"/>
    </row>
    <row r="42" spans="1:27" s="16" customFormat="1" ht="26.1" customHeight="1" x14ac:dyDescent="0.15">
      <c r="A42" s="302"/>
      <c r="B42" s="568"/>
      <c r="C42" s="569"/>
      <c r="D42" s="596"/>
      <c r="E42" s="597"/>
      <c r="F42" s="228"/>
      <c r="G42" s="567"/>
      <c r="H42" s="571"/>
      <c r="I42" s="567"/>
      <c r="J42" s="571"/>
      <c r="K42" s="529"/>
      <c r="L42" s="572"/>
      <c r="M42" s="230"/>
      <c r="N42" s="239"/>
      <c r="O42" s="240"/>
      <c r="P42" s="270"/>
      <c r="Q42" s="233"/>
      <c r="R42" s="234"/>
      <c r="S42" s="626"/>
      <c r="T42" s="627"/>
      <c r="U42" s="235"/>
      <c r="V42" s="236"/>
      <c r="W42" s="236"/>
      <c r="X42" s="236"/>
      <c r="Y42" s="515"/>
      <c r="Z42" s="516"/>
      <c r="AA42" s="673"/>
    </row>
    <row r="43" spans="1:27" s="16" customFormat="1" ht="26.1" customHeight="1" x14ac:dyDescent="0.15">
      <c r="A43" s="302"/>
      <c r="B43" s="568"/>
      <c r="C43" s="569"/>
      <c r="D43" s="596"/>
      <c r="E43" s="597"/>
      <c r="F43" s="228"/>
      <c r="G43" s="567"/>
      <c r="H43" s="571"/>
      <c r="I43" s="567"/>
      <c r="J43" s="571"/>
      <c r="K43" s="529"/>
      <c r="L43" s="572"/>
      <c r="M43" s="230"/>
      <c r="N43" s="239"/>
      <c r="O43" s="240"/>
      <c r="P43" s="270"/>
      <c r="Q43" s="233"/>
      <c r="R43" s="234"/>
      <c r="S43" s="626"/>
      <c r="T43" s="627"/>
      <c r="U43" s="235"/>
      <c r="V43" s="236"/>
      <c r="W43" s="236"/>
      <c r="X43" s="236"/>
      <c r="Y43" s="515"/>
      <c r="Z43" s="516"/>
      <c r="AA43" s="673"/>
    </row>
    <row r="44" spans="1:27" s="16" customFormat="1" ht="26.1" customHeight="1" x14ac:dyDescent="0.15">
      <c r="A44" s="302"/>
      <c r="B44" s="568"/>
      <c r="C44" s="569"/>
      <c r="D44" s="596"/>
      <c r="E44" s="597"/>
      <c r="F44" s="228"/>
      <c r="G44" s="567"/>
      <c r="H44" s="571"/>
      <c r="I44" s="567"/>
      <c r="J44" s="571"/>
      <c r="K44" s="529"/>
      <c r="L44" s="572"/>
      <c r="M44" s="230"/>
      <c r="N44" s="239"/>
      <c r="O44" s="240"/>
      <c r="P44" s="270"/>
      <c r="Q44" s="233"/>
      <c r="R44" s="234"/>
      <c r="S44" s="626"/>
      <c r="T44" s="627"/>
      <c r="U44" s="235"/>
      <c r="V44" s="236"/>
      <c r="W44" s="236"/>
      <c r="X44" s="236"/>
      <c r="Y44" s="515"/>
      <c r="Z44" s="516"/>
      <c r="AA44" s="673"/>
    </row>
    <row r="45" spans="1:27" s="16" customFormat="1" ht="26.1" customHeight="1" x14ac:dyDescent="0.15">
      <c r="A45" s="302"/>
      <c r="B45" s="568"/>
      <c r="C45" s="569"/>
      <c r="D45" s="596"/>
      <c r="E45" s="597"/>
      <c r="F45" s="228"/>
      <c r="G45" s="567"/>
      <c r="H45" s="571"/>
      <c r="I45" s="567"/>
      <c r="J45" s="571"/>
      <c r="K45" s="529"/>
      <c r="L45" s="572"/>
      <c r="M45" s="230"/>
      <c r="N45" s="239"/>
      <c r="O45" s="240"/>
      <c r="P45" s="270"/>
      <c r="Q45" s="233"/>
      <c r="R45" s="234"/>
      <c r="S45" s="626"/>
      <c r="T45" s="627"/>
      <c r="U45" s="235"/>
      <c r="V45" s="236"/>
      <c r="W45" s="236"/>
      <c r="X45" s="236"/>
      <c r="Y45" s="515"/>
      <c r="Z45" s="516"/>
      <c r="AA45" s="673"/>
    </row>
    <row r="46" spans="1:27" s="16" customFormat="1" ht="26.1" customHeight="1" x14ac:dyDescent="0.15">
      <c r="A46" s="302"/>
      <c r="B46" s="568"/>
      <c r="C46" s="569"/>
      <c r="D46" s="596"/>
      <c r="E46" s="597"/>
      <c r="F46" s="228"/>
      <c r="G46" s="567"/>
      <c r="H46" s="571"/>
      <c r="I46" s="567"/>
      <c r="J46" s="571"/>
      <c r="K46" s="529"/>
      <c r="L46" s="572"/>
      <c r="M46" s="230"/>
      <c r="N46" s="239"/>
      <c r="O46" s="240"/>
      <c r="P46" s="270"/>
      <c r="Q46" s="233"/>
      <c r="R46" s="234"/>
      <c r="S46" s="626"/>
      <c r="T46" s="627"/>
      <c r="U46" s="235"/>
      <c r="V46" s="236"/>
      <c r="W46" s="236"/>
      <c r="X46" s="236"/>
      <c r="Y46" s="515"/>
      <c r="Z46" s="516"/>
      <c r="AA46" s="673"/>
    </row>
    <row r="47" spans="1:27" s="16" customFormat="1" ht="26.1" customHeight="1" x14ac:dyDescent="0.15">
      <c r="A47" s="302"/>
      <c r="B47" s="568"/>
      <c r="C47" s="569"/>
      <c r="D47" s="596"/>
      <c r="E47" s="597"/>
      <c r="F47" s="228"/>
      <c r="G47" s="567"/>
      <c r="H47" s="571"/>
      <c r="I47" s="567"/>
      <c r="J47" s="571"/>
      <c r="K47" s="529"/>
      <c r="L47" s="572"/>
      <c r="M47" s="230"/>
      <c r="N47" s="239"/>
      <c r="O47" s="240"/>
      <c r="P47" s="270"/>
      <c r="Q47" s="233"/>
      <c r="R47" s="234"/>
      <c r="S47" s="626"/>
      <c r="T47" s="627"/>
      <c r="U47" s="235"/>
      <c r="V47" s="236"/>
      <c r="W47" s="236"/>
      <c r="X47" s="236"/>
      <c r="Y47" s="515"/>
      <c r="Z47" s="516"/>
      <c r="AA47" s="673"/>
    </row>
    <row r="48" spans="1:27" s="16" customFormat="1" ht="26.1" customHeight="1" x14ac:dyDescent="0.15">
      <c r="A48" s="302"/>
      <c r="B48" s="568"/>
      <c r="C48" s="569"/>
      <c r="D48" s="596"/>
      <c r="E48" s="597"/>
      <c r="F48" s="228"/>
      <c r="G48" s="567"/>
      <c r="H48" s="571"/>
      <c r="I48" s="567"/>
      <c r="J48" s="571"/>
      <c r="K48" s="529"/>
      <c r="L48" s="572"/>
      <c r="M48" s="230"/>
      <c r="N48" s="239"/>
      <c r="O48" s="240"/>
      <c r="P48" s="270"/>
      <c r="Q48" s="233"/>
      <c r="R48" s="234"/>
      <c r="S48" s="626"/>
      <c r="T48" s="627"/>
      <c r="U48" s="235"/>
      <c r="V48" s="236"/>
      <c r="W48" s="236"/>
      <c r="X48" s="236"/>
      <c r="Y48" s="515"/>
      <c r="Z48" s="516"/>
      <c r="AA48" s="673"/>
    </row>
    <row r="49" spans="1:27" s="16" customFormat="1" ht="26.1" customHeight="1" x14ac:dyDescent="0.15">
      <c r="A49" s="302"/>
      <c r="B49" s="568"/>
      <c r="C49" s="569"/>
      <c r="D49" s="596"/>
      <c r="E49" s="597"/>
      <c r="F49" s="228"/>
      <c r="G49" s="567"/>
      <c r="H49" s="571"/>
      <c r="I49" s="567"/>
      <c r="J49" s="571"/>
      <c r="K49" s="529"/>
      <c r="L49" s="572"/>
      <c r="M49" s="230"/>
      <c r="N49" s="239"/>
      <c r="O49" s="240"/>
      <c r="P49" s="270"/>
      <c r="Q49" s="233"/>
      <c r="R49" s="234"/>
      <c r="S49" s="626"/>
      <c r="T49" s="627"/>
      <c r="U49" s="235"/>
      <c r="V49" s="236"/>
      <c r="W49" s="236"/>
      <c r="X49" s="236"/>
      <c r="Y49" s="515"/>
      <c r="Z49" s="516"/>
      <c r="AA49" s="673"/>
    </row>
    <row r="50" spans="1:27" s="16" customFormat="1" ht="26.1" customHeight="1" x14ac:dyDescent="0.15">
      <c r="A50" s="302"/>
      <c r="B50" s="568"/>
      <c r="C50" s="569"/>
      <c r="D50" s="596"/>
      <c r="E50" s="597"/>
      <c r="F50" s="228"/>
      <c r="G50" s="567"/>
      <c r="H50" s="571"/>
      <c r="I50" s="567"/>
      <c r="J50" s="571"/>
      <c r="K50" s="529"/>
      <c r="L50" s="572"/>
      <c r="M50" s="230"/>
      <c r="N50" s="239"/>
      <c r="O50" s="240"/>
      <c r="P50" s="270"/>
      <c r="Q50" s="233"/>
      <c r="R50" s="234"/>
      <c r="S50" s="626"/>
      <c r="T50" s="627"/>
      <c r="U50" s="235"/>
      <c r="V50" s="236"/>
      <c r="W50" s="236"/>
      <c r="X50" s="236"/>
      <c r="Y50" s="515"/>
      <c r="Z50" s="516"/>
      <c r="AA50" s="673"/>
    </row>
    <row r="51" spans="1:27" s="16" customFormat="1" ht="26.1" customHeight="1" x14ac:dyDescent="0.15">
      <c r="A51" s="302"/>
      <c r="B51" s="568"/>
      <c r="C51" s="569"/>
      <c r="D51" s="596"/>
      <c r="E51" s="597"/>
      <c r="F51" s="228"/>
      <c r="G51" s="567"/>
      <c r="H51" s="571"/>
      <c r="I51" s="567"/>
      <c r="J51" s="571"/>
      <c r="K51" s="529"/>
      <c r="L51" s="572"/>
      <c r="M51" s="230"/>
      <c r="N51" s="239"/>
      <c r="O51" s="240"/>
      <c r="P51" s="270"/>
      <c r="Q51" s="233"/>
      <c r="R51" s="234"/>
      <c r="S51" s="626"/>
      <c r="T51" s="627"/>
      <c r="U51" s="235"/>
      <c r="V51" s="236"/>
      <c r="W51" s="236"/>
      <c r="X51" s="236"/>
      <c r="Y51" s="515"/>
      <c r="Z51" s="516"/>
      <c r="AA51" s="673"/>
    </row>
    <row r="52" spans="1:27" s="16" customFormat="1" ht="26.1" customHeight="1" x14ac:dyDescent="0.15">
      <c r="A52" s="302"/>
      <c r="B52" s="568"/>
      <c r="C52" s="569"/>
      <c r="D52" s="596"/>
      <c r="E52" s="597"/>
      <c r="F52" s="228"/>
      <c r="G52" s="567"/>
      <c r="H52" s="571"/>
      <c r="I52" s="567"/>
      <c r="J52" s="571"/>
      <c r="K52" s="529"/>
      <c r="L52" s="572"/>
      <c r="M52" s="230"/>
      <c r="N52" s="239"/>
      <c r="O52" s="240"/>
      <c r="P52" s="270"/>
      <c r="Q52" s="233"/>
      <c r="R52" s="234"/>
      <c r="S52" s="626"/>
      <c r="T52" s="627"/>
      <c r="U52" s="235"/>
      <c r="V52" s="236"/>
      <c r="W52" s="236"/>
      <c r="X52" s="236"/>
      <c r="Y52" s="515"/>
      <c r="Z52" s="516"/>
      <c r="AA52" s="673"/>
    </row>
    <row r="53" spans="1:27" s="16" customFormat="1" ht="26.1" customHeight="1" x14ac:dyDescent="0.15">
      <c r="A53" s="302"/>
      <c r="B53" s="568"/>
      <c r="C53" s="569"/>
      <c r="D53" s="596"/>
      <c r="E53" s="597"/>
      <c r="F53" s="228"/>
      <c r="G53" s="567"/>
      <c r="H53" s="571"/>
      <c r="I53" s="567"/>
      <c r="J53" s="571"/>
      <c r="K53" s="529"/>
      <c r="L53" s="572"/>
      <c r="M53" s="230"/>
      <c r="N53" s="239"/>
      <c r="O53" s="240"/>
      <c r="P53" s="270"/>
      <c r="Q53" s="233"/>
      <c r="R53" s="234"/>
      <c r="S53" s="626"/>
      <c r="T53" s="627"/>
      <c r="U53" s="235"/>
      <c r="V53" s="236"/>
      <c r="W53" s="236"/>
      <c r="X53" s="236"/>
      <c r="Y53" s="515"/>
      <c r="Z53" s="516"/>
      <c r="AA53" s="673"/>
    </row>
    <row r="54" spans="1:27" s="16" customFormat="1" ht="26.1" customHeight="1" thickBot="1" x14ac:dyDescent="0.2">
      <c r="A54" s="304"/>
      <c r="B54" s="674"/>
      <c r="C54" s="675"/>
      <c r="D54" s="676"/>
      <c r="E54" s="677"/>
      <c r="F54" s="305"/>
      <c r="G54" s="678"/>
      <c r="H54" s="679"/>
      <c r="I54" s="678"/>
      <c r="J54" s="679"/>
      <c r="K54" s="680"/>
      <c r="L54" s="681"/>
      <c r="M54" s="682"/>
      <c r="N54" s="683"/>
      <c r="O54" s="684"/>
      <c r="P54" s="309"/>
      <c r="Q54" s="310"/>
      <c r="R54" s="311"/>
      <c r="S54" s="685"/>
      <c r="T54" s="686"/>
      <c r="U54" s="312"/>
      <c r="V54" s="313"/>
      <c r="W54" s="313"/>
      <c r="X54" s="313"/>
      <c r="Y54" s="687"/>
      <c r="Z54" s="688"/>
      <c r="AA54" s="689"/>
    </row>
  </sheetData>
  <mergeCells count="330">
    <mergeCell ref="A1:AA1"/>
    <mergeCell ref="C3:F3"/>
    <mergeCell ref="L3:U3"/>
    <mergeCell ref="C4:F4"/>
    <mergeCell ref="A6:A7"/>
    <mergeCell ref="B6:C7"/>
    <mergeCell ref="D6:E7"/>
    <mergeCell ref="F6:F7"/>
    <mergeCell ref="G6:J6"/>
    <mergeCell ref="K6:L7"/>
    <mergeCell ref="V6:V7"/>
    <mergeCell ref="W6:W7"/>
    <mergeCell ref="X6:X7"/>
    <mergeCell ref="Y6:AA7"/>
    <mergeCell ref="G7:H7"/>
    <mergeCell ref="I7:J7"/>
    <mergeCell ref="M6:O7"/>
    <mergeCell ref="P6:P7"/>
    <mergeCell ref="Q6:Q7"/>
    <mergeCell ref="R6:R7"/>
    <mergeCell ref="S6:T7"/>
    <mergeCell ref="U6:U7"/>
    <mergeCell ref="S8:T8"/>
    <mergeCell ref="Y8:AA8"/>
    <mergeCell ref="B9:C9"/>
    <mergeCell ref="D9:E9"/>
    <mergeCell ref="G9:H9"/>
    <mergeCell ref="I9:J9"/>
    <mergeCell ref="K9:L9"/>
    <mergeCell ref="M9:O9"/>
    <mergeCell ref="S9:T9"/>
    <mergeCell ref="Y9:AA9"/>
    <mergeCell ref="B8:C8"/>
    <mergeCell ref="D8:E8"/>
    <mergeCell ref="G8:H8"/>
    <mergeCell ref="I8:J8"/>
    <mergeCell ref="K8:L8"/>
    <mergeCell ref="M8:O8"/>
    <mergeCell ref="Y10:AA10"/>
    <mergeCell ref="B11:C11"/>
    <mergeCell ref="D11:E11"/>
    <mergeCell ref="G11:H11"/>
    <mergeCell ref="I11:J11"/>
    <mergeCell ref="K11:L11"/>
    <mergeCell ref="S11:T11"/>
    <mergeCell ref="Y11:AA11"/>
    <mergeCell ref="B10:C10"/>
    <mergeCell ref="D10:E10"/>
    <mergeCell ref="G10:H10"/>
    <mergeCell ref="I10:J10"/>
    <mergeCell ref="K10:L10"/>
    <mergeCell ref="S10:T10"/>
    <mergeCell ref="Y12:AA12"/>
    <mergeCell ref="B13:C13"/>
    <mergeCell ref="D13:E13"/>
    <mergeCell ref="G13:H13"/>
    <mergeCell ref="I13:J13"/>
    <mergeCell ref="K13:L13"/>
    <mergeCell ref="S13:T13"/>
    <mergeCell ref="Y13:AA13"/>
    <mergeCell ref="B12:C12"/>
    <mergeCell ref="D12:E12"/>
    <mergeCell ref="G12:H12"/>
    <mergeCell ref="I12:J12"/>
    <mergeCell ref="K12:L12"/>
    <mergeCell ref="S12:T12"/>
    <mergeCell ref="Y14:AA14"/>
    <mergeCell ref="B15:C15"/>
    <mergeCell ref="D15:E15"/>
    <mergeCell ref="G15:H15"/>
    <mergeCell ref="I15:J15"/>
    <mergeCell ref="K15:L15"/>
    <mergeCell ref="S15:T15"/>
    <mergeCell ref="Y15:AA15"/>
    <mergeCell ref="B14:C14"/>
    <mergeCell ref="D14:E14"/>
    <mergeCell ref="G14:H14"/>
    <mergeCell ref="I14:J14"/>
    <mergeCell ref="K14:L14"/>
    <mergeCell ref="S14:T14"/>
    <mergeCell ref="Y16:AA16"/>
    <mergeCell ref="B17:C17"/>
    <mergeCell ref="D17:E17"/>
    <mergeCell ref="G17:H17"/>
    <mergeCell ref="I17:J17"/>
    <mergeCell ref="K17:L17"/>
    <mergeCell ref="S17:T17"/>
    <mergeCell ref="Y17:AA17"/>
    <mergeCell ref="B16:C16"/>
    <mergeCell ref="D16:E16"/>
    <mergeCell ref="G16:H16"/>
    <mergeCell ref="I16:J16"/>
    <mergeCell ref="K16:L16"/>
    <mergeCell ref="S16:T16"/>
    <mergeCell ref="Y18:AA18"/>
    <mergeCell ref="B19:C19"/>
    <mergeCell ref="D19:E19"/>
    <mergeCell ref="G19:H19"/>
    <mergeCell ref="I19:J19"/>
    <mergeCell ref="K19:L19"/>
    <mergeCell ref="S19:T19"/>
    <mergeCell ref="Y19:AA19"/>
    <mergeCell ref="B18:C18"/>
    <mergeCell ref="D18:E18"/>
    <mergeCell ref="G18:H18"/>
    <mergeCell ref="I18:J18"/>
    <mergeCell ref="K18:L18"/>
    <mergeCell ref="S18:T18"/>
    <mergeCell ref="Y20:AA20"/>
    <mergeCell ref="B21:C21"/>
    <mergeCell ref="D21:E21"/>
    <mergeCell ref="G21:H21"/>
    <mergeCell ref="I21:J21"/>
    <mergeCell ref="K21:L21"/>
    <mergeCell ref="S21:T21"/>
    <mergeCell ref="Y21:AA21"/>
    <mergeCell ref="B20:C20"/>
    <mergeCell ref="D20:E20"/>
    <mergeCell ref="G20:H20"/>
    <mergeCell ref="I20:J20"/>
    <mergeCell ref="K20:L20"/>
    <mergeCell ref="S20:T20"/>
    <mergeCell ref="Y22:AA22"/>
    <mergeCell ref="B23:C23"/>
    <mergeCell ref="D23:E23"/>
    <mergeCell ref="G23:H23"/>
    <mergeCell ref="I23:J23"/>
    <mergeCell ref="K23:L23"/>
    <mergeCell ref="S23:T23"/>
    <mergeCell ref="Y23:AA23"/>
    <mergeCell ref="B22:C22"/>
    <mergeCell ref="D22:E22"/>
    <mergeCell ref="G22:H22"/>
    <mergeCell ref="I22:J22"/>
    <mergeCell ref="K22:L22"/>
    <mergeCell ref="S22:T22"/>
    <mergeCell ref="Y24:AA24"/>
    <mergeCell ref="B25:C25"/>
    <mergeCell ref="D25:E25"/>
    <mergeCell ref="G25:H25"/>
    <mergeCell ref="I25:J25"/>
    <mergeCell ref="K25:L25"/>
    <mergeCell ref="S25:T25"/>
    <mergeCell ref="Y25:AA25"/>
    <mergeCell ref="B24:C24"/>
    <mergeCell ref="D24:E24"/>
    <mergeCell ref="G24:H24"/>
    <mergeCell ref="I24:J24"/>
    <mergeCell ref="K24:L24"/>
    <mergeCell ref="S24:T24"/>
    <mergeCell ref="Y26:AA26"/>
    <mergeCell ref="B27:C27"/>
    <mergeCell ref="D27:E27"/>
    <mergeCell ref="G27:H27"/>
    <mergeCell ref="I27:J27"/>
    <mergeCell ref="K27:L27"/>
    <mergeCell ref="S27:T27"/>
    <mergeCell ref="Y27:AA27"/>
    <mergeCell ref="B26:C26"/>
    <mergeCell ref="D26:E26"/>
    <mergeCell ref="G26:H26"/>
    <mergeCell ref="I26:J26"/>
    <mergeCell ref="K26:L26"/>
    <mergeCell ref="S26:T26"/>
    <mergeCell ref="A28:AA28"/>
    <mergeCell ref="C30:F30"/>
    <mergeCell ref="L30:U30"/>
    <mergeCell ref="C31:F31"/>
    <mergeCell ref="A33:A34"/>
    <mergeCell ref="B33:C34"/>
    <mergeCell ref="D33:E34"/>
    <mergeCell ref="F33:F34"/>
    <mergeCell ref="G33:J33"/>
    <mergeCell ref="K33:L34"/>
    <mergeCell ref="V33:V34"/>
    <mergeCell ref="W33:W34"/>
    <mergeCell ref="X33:X34"/>
    <mergeCell ref="Y33:AA34"/>
    <mergeCell ref="G34:H34"/>
    <mergeCell ref="I34:J34"/>
    <mergeCell ref="M33:O34"/>
    <mergeCell ref="P33:P34"/>
    <mergeCell ref="Q33:Q34"/>
    <mergeCell ref="R33:R34"/>
    <mergeCell ref="S33:T34"/>
    <mergeCell ref="U33:U34"/>
    <mergeCell ref="S35:T35"/>
    <mergeCell ref="Y35:AA35"/>
    <mergeCell ref="B36:C36"/>
    <mergeCell ref="D36:E36"/>
    <mergeCell ref="G36:H36"/>
    <mergeCell ref="I36:J36"/>
    <mergeCell ref="K36:L36"/>
    <mergeCell ref="M36:O36"/>
    <mergeCell ref="S36:T36"/>
    <mergeCell ref="Y36:AA36"/>
    <mergeCell ref="B35:C35"/>
    <mergeCell ref="D35:E35"/>
    <mergeCell ref="G35:H35"/>
    <mergeCell ref="I35:J35"/>
    <mergeCell ref="K35:L35"/>
    <mergeCell ref="M35:O35"/>
    <mergeCell ref="S37:T37"/>
    <mergeCell ref="Y37:AA37"/>
    <mergeCell ref="B38:C38"/>
    <mergeCell ref="D38:E38"/>
    <mergeCell ref="G38:H38"/>
    <mergeCell ref="I38:J38"/>
    <mergeCell ref="K38:L38"/>
    <mergeCell ref="S38:T38"/>
    <mergeCell ref="Y38:AA38"/>
    <mergeCell ref="B37:C37"/>
    <mergeCell ref="D37:E37"/>
    <mergeCell ref="G37:H37"/>
    <mergeCell ref="I37:J37"/>
    <mergeCell ref="K37:L37"/>
    <mergeCell ref="M37:O37"/>
    <mergeCell ref="Y39:AA39"/>
    <mergeCell ref="B40:C40"/>
    <mergeCell ref="D40:E40"/>
    <mergeCell ref="G40:H40"/>
    <mergeCell ref="I40:J40"/>
    <mergeCell ref="K40:L40"/>
    <mergeCell ref="S40:T40"/>
    <mergeCell ref="Y40:AA40"/>
    <mergeCell ref="B39:C39"/>
    <mergeCell ref="D39:E39"/>
    <mergeCell ref="G39:H39"/>
    <mergeCell ref="I39:J39"/>
    <mergeCell ref="K39:L39"/>
    <mergeCell ref="S39:T39"/>
    <mergeCell ref="Y41:AA41"/>
    <mergeCell ref="B42:C42"/>
    <mergeCell ref="D42:E42"/>
    <mergeCell ref="G42:H42"/>
    <mergeCell ref="I42:J42"/>
    <mergeCell ref="K42:L42"/>
    <mergeCell ref="S42:T42"/>
    <mergeCell ref="Y42:AA42"/>
    <mergeCell ref="B41:C41"/>
    <mergeCell ref="D41:E41"/>
    <mergeCell ref="G41:H41"/>
    <mergeCell ref="I41:J41"/>
    <mergeCell ref="K41:L41"/>
    <mergeCell ref="S41:T41"/>
    <mergeCell ref="Y43:AA43"/>
    <mergeCell ref="B44:C44"/>
    <mergeCell ref="D44:E44"/>
    <mergeCell ref="G44:H44"/>
    <mergeCell ref="I44:J44"/>
    <mergeCell ref="K44:L44"/>
    <mergeCell ref="S44:T44"/>
    <mergeCell ref="Y44:AA44"/>
    <mergeCell ref="B43:C43"/>
    <mergeCell ref="D43:E43"/>
    <mergeCell ref="G43:H43"/>
    <mergeCell ref="I43:J43"/>
    <mergeCell ref="K43:L43"/>
    <mergeCell ref="S43:T43"/>
    <mergeCell ref="Y45:AA45"/>
    <mergeCell ref="B46:C46"/>
    <mergeCell ref="D46:E46"/>
    <mergeCell ref="G46:H46"/>
    <mergeCell ref="I46:J46"/>
    <mergeCell ref="K46:L46"/>
    <mergeCell ref="S46:T46"/>
    <mergeCell ref="Y46:AA46"/>
    <mergeCell ref="B45:C45"/>
    <mergeCell ref="D45:E45"/>
    <mergeCell ref="G45:H45"/>
    <mergeCell ref="I45:J45"/>
    <mergeCell ref="K45:L45"/>
    <mergeCell ref="S45:T45"/>
    <mergeCell ref="Y47:AA47"/>
    <mergeCell ref="B48:C48"/>
    <mergeCell ref="D48:E48"/>
    <mergeCell ref="G48:H48"/>
    <mergeCell ref="I48:J48"/>
    <mergeCell ref="K48:L48"/>
    <mergeCell ref="S48:T48"/>
    <mergeCell ref="Y48:AA48"/>
    <mergeCell ref="B47:C47"/>
    <mergeCell ref="D47:E47"/>
    <mergeCell ref="G47:H47"/>
    <mergeCell ref="I47:J47"/>
    <mergeCell ref="K47:L47"/>
    <mergeCell ref="S47:T47"/>
    <mergeCell ref="Y49:AA49"/>
    <mergeCell ref="B50:C50"/>
    <mergeCell ref="D50:E50"/>
    <mergeCell ref="G50:H50"/>
    <mergeCell ref="I50:J50"/>
    <mergeCell ref="K50:L50"/>
    <mergeCell ref="S50:T50"/>
    <mergeCell ref="Y50:AA50"/>
    <mergeCell ref="B49:C49"/>
    <mergeCell ref="D49:E49"/>
    <mergeCell ref="G49:H49"/>
    <mergeCell ref="I49:J49"/>
    <mergeCell ref="K49:L49"/>
    <mergeCell ref="S49:T49"/>
    <mergeCell ref="Y51:AA51"/>
    <mergeCell ref="B52:C52"/>
    <mergeCell ref="D52:E52"/>
    <mergeCell ref="G52:H52"/>
    <mergeCell ref="I52:J52"/>
    <mergeCell ref="K52:L52"/>
    <mergeCell ref="S52:T52"/>
    <mergeCell ref="Y52:AA52"/>
    <mergeCell ref="B51:C51"/>
    <mergeCell ref="D51:E51"/>
    <mergeCell ref="G51:H51"/>
    <mergeCell ref="I51:J51"/>
    <mergeCell ref="K51:L51"/>
    <mergeCell ref="S51:T51"/>
    <mergeCell ref="Y53:AA53"/>
    <mergeCell ref="B54:C54"/>
    <mergeCell ref="D54:E54"/>
    <mergeCell ref="G54:H54"/>
    <mergeCell ref="I54:J54"/>
    <mergeCell ref="K54:L54"/>
    <mergeCell ref="M54:O54"/>
    <mergeCell ref="S54:T54"/>
    <mergeCell ref="Y54:AA54"/>
    <mergeCell ref="B53:C53"/>
    <mergeCell ref="D53:E53"/>
    <mergeCell ref="G53:H53"/>
    <mergeCell ref="I53:J53"/>
    <mergeCell ref="K53:L53"/>
    <mergeCell ref="S53:T53"/>
  </mergeCells>
  <phoneticPr fontId="3"/>
  <printOptions horizontalCentered="1" verticalCentered="1"/>
  <pageMargins left="0.19685039370078741" right="0.19685039370078741" top="0" bottom="0" header="0" footer="0"/>
  <pageSetup paperSize="9" scale="99" orientation="landscape" r:id="rId1"/>
  <headerFooter alignWithMargins="0"/>
  <rowBreaks count="1" manualBreakCount="1">
    <brk id="27"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D74D3-CB97-4F70-BA3B-9F7835EB3BD9}">
  <sheetPr codeName="Sheet16"/>
  <dimension ref="A1:Q49"/>
  <sheetViews>
    <sheetView zoomScaleNormal="100" workbookViewId="0">
      <selection sqref="A1:P1"/>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0.125" style="3" customWidth="1"/>
    <col min="14" max="14" width="6.875" style="3" hidden="1" customWidth="1"/>
    <col min="15" max="15" width="11.625" style="3" customWidth="1"/>
    <col min="16" max="16" width="4.125" style="3" customWidth="1"/>
    <col min="17" max="17" width="6.625"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0.125" style="3" customWidth="1"/>
    <col min="270" max="270" width="0" style="3" hidden="1" customWidth="1"/>
    <col min="271" max="271" width="11.625" style="3" customWidth="1"/>
    <col min="272" max="272" width="4.125" style="3" customWidth="1"/>
    <col min="273" max="273" width="6.625"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0.125" style="3" customWidth="1"/>
    <col min="526" max="526" width="0" style="3" hidden="1" customWidth="1"/>
    <col min="527" max="527" width="11.625" style="3" customWidth="1"/>
    <col min="528" max="528" width="4.125" style="3" customWidth="1"/>
    <col min="529" max="529" width="6.625"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0.125" style="3" customWidth="1"/>
    <col min="782" max="782" width="0" style="3" hidden="1" customWidth="1"/>
    <col min="783" max="783" width="11.625" style="3" customWidth="1"/>
    <col min="784" max="784" width="4.125" style="3" customWidth="1"/>
    <col min="785" max="785" width="6.625"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0.125" style="3" customWidth="1"/>
    <col min="1038" max="1038" width="0" style="3" hidden="1" customWidth="1"/>
    <col min="1039" max="1039" width="11.625" style="3" customWidth="1"/>
    <col min="1040" max="1040" width="4.125" style="3" customWidth="1"/>
    <col min="1041" max="1041" width="6.625"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0.125" style="3" customWidth="1"/>
    <col min="1294" max="1294" width="0" style="3" hidden="1" customWidth="1"/>
    <col min="1295" max="1295" width="11.625" style="3" customWidth="1"/>
    <col min="1296" max="1296" width="4.125" style="3" customWidth="1"/>
    <col min="1297" max="1297" width="6.625"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0.125" style="3" customWidth="1"/>
    <col min="1550" max="1550" width="0" style="3" hidden="1" customWidth="1"/>
    <col min="1551" max="1551" width="11.625" style="3" customWidth="1"/>
    <col min="1552" max="1552" width="4.125" style="3" customWidth="1"/>
    <col min="1553" max="1553" width="6.625"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0.125" style="3" customWidth="1"/>
    <col min="1806" max="1806" width="0" style="3" hidden="1" customWidth="1"/>
    <col min="1807" max="1807" width="11.625" style="3" customWidth="1"/>
    <col min="1808" max="1808" width="4.125" style="3" customWidth="1"/>
    <col min="1809" max="1809" width="6.625"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0.125" style="3" customWidth="1"/>
    <col min="2062" max="2062" width="0" style="3" hidden="1" customWidth="1"/>
    <col min="2063" max="2063" width="11.625" style="3" customWidth="1"/>
    <col min="2064" max="2064" width="4.125" style="3" customWidth="1"/>
    <col min="2065" max="2065" width="6.625"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0.125" style="3" customWidth="1"/>
    <col min="2318" max="2318" width="0" style="3" hidden="1" customWidth="1"/>
    <col min="2319" max="2319" width="11.625" style="3" customWidth="1"/>
    <col min="2320" max="2320" width="4.125" style="3" customWidth="1"/>
    <col min="2321" max="2321" width="6.625"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0.125" style="3" customWidth="1"/>
    <col min="2574" max="2574" width="0" style="3" hidden="1" customWidth="1"/>
    <col min="2575" max="2575" width="11.625" style="3" customWidth="1"/>
    <col min="2576" max="2576" width="4.125" style="3" customWidth="1"/>
    <col min="2577" max="2577" width="6.625"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0.125" style="3" customWidth="1"/>
    <col min="2830" max="2830" width="0" style="3" hidden="1" customWidth="1"/>
    <col min="2831" max="2831" width="11.625" style="3" customWidth="1"/>
    <col min="2832" max="2832" width="4.125" style="3" customWidth="1"/>
    <col min="2833" max="2833" width="6.625"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0.125" style="3" customWidth="1"/>
    <col min="3086" max="3086" width="0" style="3" hidden="1" customWidth="1"/>
    <col min="3087" max="3087" width="11.625" style="3" customWidth="1"/>
    <col min="3088" max="3088" width="4.125" style="3" customWidth="1"/>
    <col min="3089" max="3089" width="6.625"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0.125" style="3" customWidth="1"/>
    <col min="3342" max="3342" width="0" style="3" hidden="1" customWidth="1"/>
    <col min="3343" max="3343" width="11.625" style="3" customWidth="1"/>
    <col min="3344" max="3344" width="4.125" style="3" customWidth="1"/>
    <col min="3345" max="3345" width="6.625"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0.125" style="3" customWidth="1"/>
    <col min="3598" max="3598" width="0" style="3" hidden="1" customWidth="1"/>
    <col min="3599" max="3599" width="11.625" style="3" customWidth="1"/>
    <col min="3600" max="3600" width="4.125" style="3" customWidth="1"/>
    <col min="3601" max="3601" width="6.625"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0.125" style="3" customWidth="1"/>
    <col min="3854" max="3854" width="0" style="3" hidden="1" customWidth="1"/>
    <col min="3855" max="3855" width="11.625" style="3" customWidth="1"/>
    <col min="3856" max="3856" width="4.125" style="3" customWidth="1"/>
    <col min="3857" max="3857" width="6.625"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0.125" style="3" customWidth="1"/>
    <col min="4110" max="4110" width="0" style="3" hidden="1" customWidth="1"/>
    <col min="4111" max="4111" width="11.625" style="3" customWidth="1"/>
    <col min="4112" max="4112" width="4.125" style="3" customWidth="1"/>
    <col min="4113" max="4113" width="6.625"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0.125" style="3" customWidth="1"/>
    <col min="4366" max="4366" width="0" style="3" hidden="1" customWidth="1"/>
    <col min="4367" max="4367" width="11.625" style="3" customWidth="1"/>
    <col min="4368" max="4368" width="4.125" style="3" customWidth="1"/>
    <col min="4369" max="4369" width="6.625"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0.125" style="3" customWidth="1"/>
    <col min="4622" max="4622" width="0" style="3" hidden="1" customWidth="1"/>
    <col min="4623" max="4623" width="11.625" style="3" customWidth="1"/>
    <col min="4624" max="4624" width="4.125" style="3" customWidth="1"/>
    <col min="4625" max="4625" width="6.625"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0.125" style="3" customWidth="1"/>
    <col min="4878" max="4878" width="0" style="3" hidden="1" customWidth="1"/>
    <col min="4879" max="4879" width="11.625" style="3" customWidth="1"/>
    <col min="4880" max="4880" width="4.125" style="3" customWidth="1"/>
    <col min="4881" max="4881" width="6.625"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0.125" style="3" customWidth="1"/>
    <col min="5134" max="5134" width="0" style="3" hidden="1" customWidth="1"/>
    <col min="5135" max="5135" width="11.625" style="3" customWidth="1"/>
    <col min="5136" max="5136" width="4.125" style="3" customWidth="1"/>
    <col min="5137" max="5137" width="6.625"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0.125" style="3" customWidth="1"/>
    <col min="5390" max="5390" width="0" style="3" hidden="1" customWidth="1"/>
    <col min="5391" max="5391" width="11.625" style="3" customWidth="1"/>
    <col min="5392" max="5392" width="4.125" style="3" customWidth="1"/>
    <col min="5393" max="5393" width="6.625"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0.125" style="3" customWidth="1"/>
    <col min="5646" max="5646" width="0" style="3" hidden="1" customWidth="1"/>
    <col min="5647" max="5647" width="11.625" style="3" customWidth="1"/>
    <col min="5648" max="5648" width="4.125" style="3" customWidth="1"/>
    <col min="5649" max="5649" width="6.625"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0.125" style="3" customWidth="1"/>
    <col min="5902" max="5902" width="0" style="3" hidden="1" customWidth="1"/>
    <col min="5903" max="5903" width="11.625" style="3" customWidth="1"/>
    <col min="5904" max="5904" width="4.125" style="3" customWidth="1"/>
    <col min="5905" max="5905" width="6.625"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0.125" style="3" customWidth="1"/>
    <col min="6158" max="6158" width="0" style="3" hidden="1" customWidth="1"/>
    <col min="6159" max="6159" width="11.625" style="3" customWidth="1"/>
    <col min="6160" max="6160" width="4.125" style="3" customWidth="1"/>
    <col min="6161" max="6161" width="6.625"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0.125" style="3" customWidth="1"/>
    <col min="6414" max="6414" width="0" style="3" hidden="1" customWidth="1"/>
    <col min="6415" max="6415" width="11.625" style="3" customWidth="1"/>
    <col min="6416" max="6416" width="4.125" style="3" customWidth="1"/>
    <col min="6417" max="6417" width="6.625"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0.125" style="3" customWidth="1"/>
    <col min="6670" max="6670" width="0" style="3" hidden="1" customWidth="1"/>
    <col min="6671" max="6671" width="11.625" style="3" customWidth="1"/>
    <col min="6672" max="6672" width="4.125" style="3" customWidth="1"/>
    <col min="6673" max="6673" width="6.625"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0.125" style="3" customWidth="1"/>
    <col min="6926" max="6926" width="0" style="3" hidden="1" customWidth="1"/>
    <col min="6927" max="6927" width="11.625" style="3" customWidth="1"/>
    <col min="6928" max="6928" width="4.125" style="3" customWidth="1"/>
    <col min="6929" max="6929" width="6.625"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0.125" style="3" customWidth="1"/>
    <col min="7182" max="7182" width="0" style="3" hidden="1" customWidth="1"/>
    <col min="7183" max="7183" width="11.625" style="3" customWidth="1"/>
    <col min="7184" max="7184" width="4.125" style="3" customWidth="1"/>
    <col min="7185" max="7185" width="6.625"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0.125" style="3" customWidth="1"/>
    <col min="7438" max="7438" width="0" style="3" hidden="1" customWidth="1"/>
    <col min="7439" max="7439" width="11.625" style="3" customWidth="1"/>
    <col min="7440" max="7440" width="4.125" style="3" customWidth="1"/>
    <col min="7441" max="7441" width="6.625"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0.125" style="3" customWidth="1"/>
    <col min="7694" max="7694" width="0" style="3" hidden="1" customWidth="1"/>
    <col min="7695" max="7695" width="11.625" style="3" customWidth="1"/>
    <col min="7696" max="7696" width="4.125" style="3" customWidth="1"/>
    <col min="7697" max="7697" width="6.625"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0.125" style="3" customWidth="1"/>
    <col min="7950" max="7950" width="0" style="3" hidden="1" customWidth="1"/>
    <col min="7951" max="7951" width="11.625" style="3" customWidth="1"/>
    <col min="7952" max="7952" width="4.125" style="3" customWidth="1"/>
    <col min="7953" max="7953" width="6.625"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0.125" style="3" customWidth="1"/>
    <col min="8206" max="8206" width="0" style="3" hidden="1" customWidth="1"/>
    <col min="8207" max="8207" width="11.625" style="3" customWidth="1"/>
    <col min="8208" max="8208" width="4.125" style="3" customWidth="1"/>
    <col min="8209" max="8209" width="6.625"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0.125" style="3" customWidth="1"/>
    <col min="8462" max="8462" width="0" style="3" hidden="1" customWidth="1"/>
    <col min="8463" max="8463" width="11.625" style="3" customWidth="1"/>
    <col min="8464" max="8464" width="4.125" style="3" customWidth="1"/>
    <col min="8465" max="8465" width="6.625"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0.125" style="3" customWidth="1"/>
    <col min="8718" max="8718" width="0" style="3" hidden="1" customWidth="1"/>
    <col min="8719" max="8719" width="11.625" style="3" customWidth="1"/>
    <col min="8720" max="8720" width="4.125" style="3" customWidth="1"/>
    <col min="8721" max="8721" width="6.625"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0.125" style="3" customWidth="1"/>
    <col min="8974" max="8974" width="0" style="3" hidden="1" customWidth="1"/>
    <col min="8975" max="8975" width="11.625" style="3" customWidth="1"/>
    <col min="8976" max="8976" width="4.125" style="3" customWidth="1"/>
    <col min="8977" max="8977" width="6.625"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0.125" style="3" customWidth="1"/>
    <col min="9230" max="9230" width="0" style="3" hidden="1" customWidth="1"/>
    <col min="9231" max="9231" width="11.625" style="3" customWidth="1"/>
    <col min="9232" max="9232" width="4.125" style="3" customWidth="1"/>
    <col min="9233" max="9233" width="6.625"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0.125" style="3" customWidth="1"/>
    <col min="9486" max="9486" width="0" style="3" hidden="1" customWidth="1"/>
    <col min="9487" max="9487" width="11.625" style="3" customWidth="1"/>
    <col min="9488" max="9488" width="4.125" style="3" customWidth="1"/>
    <col min="9489" max="9489" width="6.625"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0.125" style="3" customWidth="1"/>
    <col min="9742" max="9742" width="0" style="3" hidden="1" customWidth="1"/>
    <col min="9743" max="9743" width="11.625" style="3" customWidth="1"/>
    <col min="9744" max="9744" width="4.125" style="3" customWidth="1"/>
    <col min="9745" max="9745" width="6.625"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0.125" style="3" customWidth="1"/>
    <col min="9998" max="9998" width="0" style="3" hidden="1" customWidth="1"/>
    <col min="9999" max="9999" width="11.625" style="3" customWidth="1"/>
    <col min="10000" max="10000" width="4.125" style="3" customWidth="1"/>
    <col min="10001" max="10001" width="6.625"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0.125" style="3" customWidth="1"/>
    <col min="10254" max="10254" width="0" style="3" hidden="1" customWidth="1"/>
    <col min="10255" max="10255" width="11.625" style="3" customWidth="1"/>
    <col min="10256" max="10256" width="4.125" style="3" customWidth="1"/>
    <col min="10257" max="10257" width="6.625"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0.125" style="3" customWidth="1"/>
    <col min="10510" max="10510" width="0" style="3" hidden="1" customWidth="1"/>
    <col min="10511" max="10511" width="11.625" style="3" customWidth="1"/>
    <col min="10512" max="10512" width="4.125" style="3" customWidth="1"/>
    <col min="10513" max="10513" width="6.625"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0.125" style="3" customWidth="1"/>
    <col min="10766" max="10766" width="0" style="3" hidden="1" customWidth="1"/>
    <col min="10767" max="10767" width="11.625" style="3" customWidth="1"/>
    <col min="10768" max="10768" width="4.125" style="3" customWidth="1"/>
    <col min="10769" max="10769" width="6.625"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0.125" style="3" customWidth="1"/>
    <col min="11022" max="11022" width="0" style="3" hidden="1" customWidth="1"/>
    <col min="11023" max="11023" width="11.625" style="3" customWidth="1"/>
    <col min="11024" max="11024" width="4.125" style="3" customWidth="1"/>
    <col min="11025" max="11025" width="6.625"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0.125" style="3" customWidth="1"/>
    <col min="11278" max="11278" width="0" style="3" hidden="1" customWidth="1"/>
    <col min="11279" max="11279" width="11.625" style="3" customWidth="1"/>
    <col min="11280" max="11280" width="4.125" style="3" customWidth="1"/>
    <col min="11281" max="11281" width="6.625"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0.125" style="3" customWidth="1"/>
    <col min="11534" max="11534" width="0" style="3" hidden="1" customWidth="1"/>
    <col min="11535" max="11535" width="11.625" style="3" customWidth="1"/>
    <col min="11536" max="11536" width="4.125" style="3" customWidth="1"/>
    <col min="11537" max="11537" width="6.625"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0.125" style="3" customWidth="1"/>
    <col min="11790" max="11790" width="0" style="3" hidden="1" customWidth="1"/>
    <col min="11791" max="11791" width="11.625" style="3" customWidth="1"/>
    <col min="11792" max="11792" width="4.125" style="3" customWidth="1"/>
    <col min="11793" max="11793" width="6.625"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0.125" style="3" customWidth="1"/>
    <col min="12046" max="12046" width="0" style="3" hidden="1" customWidth="1"/>
    <col min="12047" max="12047" width="11.625" style="3" customWidth="1"/>
    <col min="12048" max="12048" width="4.125" style="3" customWidth="1"/>
    <col min="12049" max="12049" width="6.625"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0.125" style="3" customWidth="1"/>
    <col min="12302" max="12302" width="0" style="3" hidden="1" customWidth="1"/>
    <col min="12303" max="12303" width="11.625" style="3" customWidth="1"/>
    <col min="12304" max="12304" width="4.125" style="3" customWidth="1"/>
    <col min="12305" max="12305" width="6.625"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0.125" style="3" customWidth="1"/>
    <col min="12558" max="12558" width="0" style="3" hidden="1" customWidth="1"/>
    <col min="12559" max="12559" width="11.625" style="3" customWidth="1"/>
    <col min="12560" max="12560" width="4.125" style="3" customWidth="1"/>
    <col min="12561" max="12561" width="6.625"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0.125" style="3" customWidth="1"/>
    <col min="12814" max="12814" width="0" style="3" hidden="1" customWidth="1"/>
    <col min="12815" max="12815" width="11.625" style="3" customWidth="1"/>
    <col min="12816" max="12816" width="4.125" style="3" customWidth="1"/>
    <col min="12817" max="12817" width="6.625"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0.125" style="3" customWidth="1"/>
    <col min="13070" max="13070" width="0" style="3" hidden="1" customWidth="1"/>
    <col min="13071" max="13071" width="11.625" style="3" customWidth="1"/>
    <col min="13072" max="13072" width="4.125" style="3" customWidth="1"/>
    <col min="13073" max="13073" width="6.625"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0.125" style="3" customWidth="1"/>
    <col min="13326" max="13326" width="0" style="3" hidden="1" customWidth="1"/>
    <col min="13327" max="13327" width="11.625" style="3" customWidth="1"/>
    <col min="13328" max="13328" width="4.125" style="3" customWidth="1"/>
    <col min="13329" max="13329" width="6.625"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0.125" style="3" customWidth="1"/>
    <col min="13582" max="13582" width="0" style="3" hidden="1" customWidth="1"/>
    <col min="13583" max="13583" width="11.625" style="3" customWidth="1"/>
    <col min="13584" max="13584" width="4.125" style="3" customWidth="1"/>
    <col min="13585" max="13585" width="6.625"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0.125" style="3" customWidth="1"/>
    <col min="13838" max="13838" width="0" style="3" hidden="1" customWidth="1"/>
    <col min="13839" max="13839" width="11.625" style="3" customWidth="1"/>
    <col min="13840" max="13840" width="4.125" style="3" customWidth="1"/>
    <col min="13841" max="13841" width="6.625"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0.125" style="3" customWidth="1"/>
    <col min="14094" max="14094" width="0" style="3" hidden="1" customWidth="1"/>
    <col min="14095" max="14095" width="11.625" style="3" customWidth="1"/>
    <col min="14096" max="14096" width="4.125" style="3" customWidth="1"/>
    <col min="14097" max="14097" width="6.625"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0.125" style="3" customWidth="1"/>
    <col min="14350" max="14350" width="0" style="3" hidden="1" customWidth="1"/>
    <col min="14351" max="14351" width="11.625" style="3" customWidth="1"/>
    <col min="14352" max="14352" width="4.125" style="3" customWidth="1"/>
    <col min="14353" max="14353" width="6.625"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0.125" style="3" customWidth="1"/>
    <col min="14606" max="14606" width="0" style="3" hidden="1" customWidth="1"/>
    <col min="14607" max="14607" width="11.625" style="3" customWidth="1"/>
    <col min="14608" max="14608" width="4.125" style="3" customWidth="1"/>
    <col min="14609" max="14609" width="6.625"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0.125" style="3" customWidth="1"/>
    <col min="14862" max="14862" width="0" style="3" hidden="1" customWidth="1"/>
    <col min="14863" max="14863" width="11.625" style="3" customWidth="1"/>
    <col min="14864" max="14864" width="4.125" style="3" customWidth="1"/>
    <col min="14865" max="14865" width="6.625"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0.125" style="3" customWidth="1"/>
    <col min="15118" max="15118" width="0" style="3" hidden="1" customWidth="1"/>
    <col min="15119" max="15119" width="11.625" style="3" customWidth="1"/>
    <col min="15120" max="15120" width="4.125" style="3" customWidth="1"/>
    <col min="15121" max="15121" width="6.625"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0.125" style="3" customWidth="1"/>
    <col min="15374" max="15374" width="0" style="3" hidden="1" customWidth="1"/>
    <col min="15375" max="15375" width="11.625" style="3" customWidth="1"/>
    <col min="15376" max="15376" width="4.125" style="3" customWidth="1"/>
    <col min="15377" max="15377" width="6.625"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0.125" style="3" customWidth="1"/>
    <col min="15630" max="15630" width="0" style="3" hidden="1" customWidth="1"/>
    <col min="15631" max="15631" width="11.625" style="3" customWidth="1"/>
    <col min="15632" max="15632" width="4.125" style="3" customWidth="1"/>
    <col min="15633" max="15633" width="6.625"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0.125" style="3" customWidth="1"/>
    <col min="15886" max="15886" width="0" style="3" hidden="1" customWidth="1"/>
    <col min="15887" max="15887" width="11.625" style="3" customWidth="1"/>
    <col min="15888" max="15888" width="4.125" style="3" customWidth="1"/>
    <col min="15889" max="15889" width="6.625"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0.125" style="3" customWidth="1"/>
    <col min="16142" max="16142" width="0" style="3" hidden="1" customWidth="1"/>
    <col min="16143" max="16143" width="11.625" style="3" customWidth="1"/>
    <col min="16144" max="16144" width="4.125" style="3" customWidth="1"/>
    <col min="16145" max="16145" width="6.625" style="3" bestFit="1" customWidth="1"/>
    <col min="16146" max="16384" width="9" style="3"/>
  </cols>
  <sheetData>
    <row r="1" spans="1:17" ht="13.5" customHeight="1" x14ac:dyDescent="0.15">
      <c r="A1" s="481" t="s">
        <v>183</v>
      </c>
      <c r="B1" s="481"/>
      <c r="C1" s="481"/>
      <c r="D1" s="481"/>
      <c r="E1" s="481"/>
      <c r="F1" s="481"/>
      <c r="G1" s="481"/>
      <c r="H1" s="481"/>
      <c r="I1" s="481"/>
      <c r="J1" s="481"/>
      <c r="K1" s="481"/>
      <c r="L1" s="481"/>
      <c r="M1" s="481"/>
      <c r="N1" s="481"/>
      <c r="O1" s="481"/>
      <c r="P1" s="481"/>
      <c r="Q1" s="129"/>
    </row>
    <row r="2" spans="1:17" ht="13.5" customHeight="1" x14ac:dyDescent="0.15">
      <c r="B2" s="130"/>
      <c r="D2" s="130"/>
      <c r="E2" s="130"/>
      <c r="F2" s="130"/>
      <c r="G2" s="130"/>
      <c r="H2" s="130"/>
      <c r="M2" s="273"/>
      <c r="N2" s="273"/>
      <c r="O2" s="273"/>
      <c r="P2" s="273"/>
      <c r="Q2" s="273"/>
    </row>
    <row r="3" spans="1:17" ht="13.5" customHeight="1" x14ac:dyDescent="0.15">
      <c r="B3" s="130"/>
      <c r="D3" s="130"/>
      <c r="E3" s="130"/>
      <c r="F3" s="130"/>
      <c r="G3" s="130"/>
      <c r="H3" s="130"/>
      <c r="L3" s="273"/>
      <c r="M3" s="273"/>
      <c r="N3" s="273"/>
      <c r="O3" s="273"/>
      <c r="P3" s="273"/>
      <c r="Q3" s="273"/>
    </row>
    <row r="4" spans="1:17" ht="13.5" customHeight="1" x14ac:dyDescent="0.15">
      <c r="B4" s="130"/>
      <c r="D4" s="130"/>
      <c r="E4" s="130"/>
      <c r="F4" s="130"/>
      <c r="G4" s="130"/>
      <c r="H4" s="130"/>
      <c r="N4" s="315"/>
      <c r="O4" s="315"/>
      <c r="P4" s="315"/>
      <c r="Q4" s="315"/>
    </row>
    <row r="5" spans="1:17" ht="13.5" customHeight="1" x14ac:dyDescent="0.15">
      <c r="C5" s="130"/>
      <c r="D5" s="130"/>
      <c r="E5" s="130"/>
      <c r="F5" s="130"/>
      <c r="G5" s="130"/>
      <c r="H5" s="130"/>
      <c r="M5" s="273"/>
      <c r="N5" s="273"/>
      <c r="O5" s="273"/>
      <c r="P5" s="273"/>
      <c r="Q5" s="273"/>
    </row>
    <row r="6" spans="1:17" ht="13.5" customHeight="1" x14ac:dyDescent="0.15">
      <c r="M6" s="273"/>
      <c r="N6" s="273"/>
      <c r="O6" s="273"/>
      <c r="P6" s="273"/>
      <c r="Q6" s="273"/>
    </row>
    <row r="7" spans="1:17" ht="18.75" customHeight="1" x14ac:dyDescent="0.15">
      <c r="B7" s="507"/>
      <c r="C7" s="507"/>
      <c r="D7" s="507"/>
      <c r="E7" s="132" t="s">
        <v>72</v>
      </c>
      <c r="F7" s="7"/>
      <c r="G7" s="7"/>
    </row>
    <row r="8" spans="1:17" x14ac:dyDescent="0.15">
      <c r="C8" s="9"/>
      <c r="E8" s="9"/>
      <c r="F8" s="9"/>
      <c r="G8" s="9"/>
      <c r="H8" s="9"/>
    </row>
    <row r="9" spans="1:17" ht="17.25" x14ac:dyDescent="0.15">
      <c r="D9" s="9"/>
      <c r="F9" s="133"/>
      <c r="G9" s="133"/>
      <c r="H9" s="133"/>
      <c r="I9" s="133"/>
      <c r="J9" s="133" t="s">
        <v>184</v>
      </c>
      <c r="K9" s="133"/>
      <c r="L9" s="133"/>
      <c r="M9" s="133"/>
      <c r="N9" s="133"/>
      <c r="O9" s="133"/>
      <c r="P9" s="133"/>
      <c r="Q9" s="133"/>
    </row>
    <row r="10" spans="1:17" ht="13.35" customHeight="1" x14ac:dyDescent="0.15">
      <c r="D10" s="9"/>
      <c r="F10" s="133"/>
      <c r="G10" s="133"/>
      <c r="H10" s="133"/>
      <c r="I10" s="133"/>
      <c r="J10" s="133"/>
      <c r="K10" s="133"/>
      <c r="L10" s="133"/>
      <c r="M10" s="133"/>
      <c r="N10" s="133"/>
      <c r="O10" s="133"/>
      <c r="P10" s="133"/>
      <c r="Q10" s="133"/>
    </row>
    <row r="11" spans="1:17" ht="13.35" customHeight="1" x14ac:dyDescent="0.15">
      <c r="D11" s="9"/>
      <c r="F11" s="133"/>
      <c r="G11" s="133"/>
      <c r="H11" s="133"/>
      <c r="I11" s="133"/>
      <c r="J11" s="133"/>
      <c r="K11" s="133"/>
      <c r="L11" s="133"/>
    </row>
    <row r="12" spans="1:17" ht="13.35" customHeight="1" x14ac:dyDescent="0.15">
      <c r="D12" s="9"/>
      <c r="F12" s="133"/>
      <c r="G12" s="133"/>
      <c r="H12" s="133"/>
      <c r="I12" s="133"/>
      <c r="J12" s="133"/>
      <c r="K12" s="133"/>
      <c r="L12" s="133"/>
      <c r="M12" s="134" t="s">
        <v>74</v>
      </c>
      <c r="N12" s="134"/>
      <c r="O12" s="482"/>
      <c r="P12" s="482"/>
      <c r="Q12" s="134"/>
    </row>
    <row r="13" spans="1:17" x14ac:dyDescent="0.15">
      <c r="B13" s="214" t="s">
        <v>76</v>
      </c>
      <c r="C13" s="214"/>
      <c r="D13" s="214"/>
      <c r="E13" s="214"/>
      <c r="F13" s="214"/>
      <c r="G13" s="214"/>
      <c r="H13" s="214"/>
      <c r="I13" s="214"/>
      <c r="J13" s="214"/>
      <c r="K13" s="214"/>
      <c r="L13" s="214"/>
      <c r="M13" s="140"/>
      <c r="N13" s="135"/>
      <c r="O13" s="483"/>
      <c r="P13" s="483"/>
      <c r="Q13" s="135" t="s">
        <v>75</v>
      </c>
    </row>
    <row r="14" spans="1:17" ht="11.25" customHeight="1" x14ac:dyDescent="0.15">
      <c r="B14" s="214" t="s">
        <v>185</v>
      </c>
      <c r="C14" s="214"/>
      <c r="D14" s="214"/>
      <c r="E14" s="214"/>
      <c r="F14" s="214"/>
      <c r="G14" s="214"/>
      <c r="H14" s="214"/>
      <c r="I14" s="214"/>
      <c r="J14" s="214"/>
      <c r="K14" s="214"/>
      <c r="L14" s="214"/>
      <c r="M14" s="214"/>
      <c r="N14" s="214"/>
      <c r="O14" s="214"/>
      <c r="P14" s="316"/>
      <c r="Q14" s="316"/>
    </row>
    <row r="15" spans="1:17" ht="11.25" customHeight="1" x14ac:dyDescent="0.15">
      <c r="B15" s="214" t="s">
        <v>186</v>
      </c>
      <c r="C15" s="214"/>
      <c r="D15" s="214"/>
      <c r="E15" s="214"/>
      <c r="F15" s="214"/>
      <c r="G15" s="214"/>
      <c r="H15" s="214"/>
      <c r="I15" s="214"/>
      <c r="J15" s="214"/>
      <c r="K15" s="214"/>
      <c r="L15" s="214"/>
      <c r="M15" s="214"/>
      <c r="N15" s="214"/>
      <c r="O15" s="214"/>
      <c r="P15" s="316"/>
      <c r="Q15" s="316"/>
    </row>
    <row r="16" spans="1:17" ht="11.25" customHeight="1" x14ac:dyDescent="0.15">
      <c r="B16" s="214" t="s">
        <v>187</v>
      </c>
      <c r="C16" s="214"/>
      <c r="D16" s="214"/>
      <c r="E16" s="214"/>
      <c r="F16" s="214"/>
      <c r="G16" s="214"/>
      <c r="H16" s="214"/>
      <c r="I16" s="214"/>
      <c r="J16" s="214"/>
      <c r="K16" s="214"/>
      <c r="L16" s="214"/>
      <c r="M16" s="214"/>
      <c r="N16" s="214"/>
      <c r="O16" s="214"/>
      <c r="P16" s="316"/>
      <c r="Q16" s="316"/>
    </row>
    <row r="17" spans="1:17" ht="8.1" customHeight="1" x14ac:dyDescent="0.15">
      <c r="B17" s="190"/>
      <c r="C17" s="190"/>
      <c r="D17" s="190"/>
      <c r="E17" s="190"/>
      <c r="F17" s="190"/>
      <c r="G17" s="190"/>
      <c r="H17" s="190"/>
      <c r="I17" s="190"/>
      <c r="J17" s="190"/>
      <c r="K17" s="190"/>
      <c r="L17" s="190"/>
      <c r="M17" s="190"/>
      <c r="N17" s="190"/>
      <c r="O17" s="190"/>
      <c r="P17" s="190"/>
      <c r="Q17" s="190"/>
    </row>
    <row r="18" spans="1:17" ht="5.0999999999999996" customHeight="1" x14ac:dyDescent="0.15">
      <c r="P18" s="317"/>
      <c r="Q18" s="317"/>
    </row>
    <row r="19" spans="1:17" ht="8.1" customHeight="1" x14ac:dyDescent="0.15">
      <c r="B19" s="138"/>
      <c r="C19" s="138"/>
      <c r="D19" s="138"/>
      <c r="E19" s="138"/>
      <c r="F19" s="138"/>
      <c r="G19" s="138"/>
      <c r="H19" s="138"/>
      <c r="I19" s="138"/>
      <c r="J19" s="138"/>
      <c r="K19" s="138"/>
      <c r="L19" s="138"/>
      <c r="M19" s="138"/>
      <c r="N19" s="138"/>
      <c r="O19" s="138"/>
      <c r="P19" s="138"/>
      <c r="Q19" s="138"/>
    </row>
    <row r="20" spans="1:17" ht="12" customHeight="1" x14ac:dyDescent="0.15">
      <c r="A20" s="143"/>
      <c r="B20" s="484" t="s">
        <v>188</v>
      </c>
      <c r="C20" s="484"/>
      <c r="D20" s="484"/>
      <c r="E20" s="143"/>
      <c r="F20" s="143"/>
      <c r="G20" s="484" t="s">
        <v>189</v>
      </c>
      <c r="H20" s="484"/>
      <c r="I20" s="144"/>
      <c r="J20" s="144"/>
      <c r="K20" s="144"/>
      <c r="L20" s="144"/>
      <c r="M20" s="143"/>
      <c r="N20" s="143"/>
      <c r="O20" s="143"/>
      <c r="P20" s="143"/>
      <c r="Q20" s="143"/>
    </row>
    <row r="21" spans="1:17" ht="12" customHeight="1" x14ac:dyDescent="0.15">
      <c r="A21" s="140"/>
      <c r="B21" s="736">
        <f>SUM(L27)</f>
        <v>0</v>
      </c>
      <c r="C21" s="737"/>
      <c r="D21" s="737"/>
      <c r="E21" s="740" t="s">
        <v>190</v>
      </c>
      <c r="F21" s="134"/>
      <c r="G21" s="742"/>
      <c r="H21" s="743"/>
      <c r="I21" s="743"/>
      <c r="J21" s="743"/>
      <c r="K21" s="743"/>
      <c r="L21" s="746" t="s">
        <v>191</v>
      </c>
      <c r="M21" s="134"/>
      <c r="N21" s="134"/>
      <c r="O21" s="140"/>
      <c r="P21" s="140"/>
      <c r="Q21" s="140"/>
    </row>
    <row r="22" spans="1:17" ht="12" customHeight="1" x14ac:dyDescent="0.15">
      <c r="A22" s="140"/>
      <c r="B22" s="738"/>
      <c r="C22" s="739"/>
      <c r="D22" s="739"/>
      <c r="E22" s="741"/>
      <c r="F22" s="134"/>
      <c r="G22" s="744"/>
      <c r="H22" s="745"/>
      <c r="I22" s="745"/>
      <c r="J22" s="745"/>
      <c r="K22" s="745"/>
      <c r="L22" s="747"/>
      <c r="M22" s="134"/>
      <c r="N22" s="134"/>
      <c r="O22" s="140"/>
      <c r="P22" s="140"/>
      <c r="Q22" s="140"/>
    </row>
    <row r="23" spans="1:17" s="139" customFormat="1" ht="8.1" customHeight="1" x14ac:dyDescent="0.15">
      <c r="A23" s="140"/>
      <c r="B23" s="140"/>
      <c r="C23" s="140"/>
      <c r="D23" s="140"/>
      <c r="E23" s="140"/>
      <c r="F23" s="134"/>
      <c r="G23" s="134"/>
      <c r="H23" s="141"/>
      <c r="I23" s="141"/>
      <c r="J23" s="141"/>
      <c r="K23" s="141"/>
      <c r="L23" s="141"/>
      <c r="M23" s="134"/>
      <c r="N23" s="134"/>
      <c r="O23" s="140"/>
      <c r="P23" s="140"/>
      <c r="Q23" s="140"/>
    </row>
    <row r="24" spans="1:17" s="140" customFormat="1" ht="13.5" customHeight="1" x14ac:dyDescent="0.15">
      <c r="A24" s="143"/>
      <c r="B24" s="484" t="s">
        <v>80</v>
      </c>
      <c r="C24" s="484"/>
      <c r="D24" s="484"/>
      <c r="E24" s="485"/>
      <c r="F24" s="485"/>
      <c r="G24" s="144"/>
      <c r="H24" s="144"/>
      <c r="I24" s="144"/>
      <c r="J24" s="144"/>
      <c r="K24" s="144"/>
      <c r="L24" s="143"/>
      <c r="M24" s="143"/>
      <c r="N24" s="143"/>
      <c r="O24" s="136"/>
      <c r="P24" s="136"/>
      <c r="Q24" s="198"/>
    </row>
    <row r="25" spans="1:17" s="140" customFormat="1" ht="13.5" customHeight="1" x14ac:dyDescent="0.15">
      <c r="A25" s="143"/>
      <c r="B25" s="472" t="s">
        <v>192</v>
      </c>
      <c r="C25" s="472"/>
      <c r="D25" s="472"/>
      <c r="E25" s="472" t="s">
        <v>82</v>
      </c>
      <c r="F25" s="472"/>
      <c r="G25" s="472"/>
      <c r="H25" s="472"/>
      <c r="I25" s="472"/>
      <c r="J25" s="472" t="s">
        <v>193</v>
      </c>
      <c r="K25" s="472"/>
      <c r="L25" s="476" t="s">
        <v>194</v>
      </c>
      <c r="M25" s="735"/>
      <c r="N25" s="473"/>
      <c r="O25" s="148"/>
      <c r="P25" s="143"/>
    </row>
    <row r="26" spans="1:17" s="140" customFormat="1" ht="13.5" customHeight="1" x14ac:dyDescent="0.15">
      <c r="A26" s="143"/>
      <c r="B26" s="145" t="s">
        <v>85</v>
      </c>
      <c r="C26" s="145" t="s">
        <v>195</v>
      </c>
      <c r="D26" s="145" t="s">
        <v>87</v>
      </c>
      <c r="E26" s="472" t="s">
        <v>59</v>
      </c>
      <c r="F26" s="472"/>
      <c r="G26" s="145" t="s">
        <v>60</v>
      </c>
      <c r="H26" s="472" t="s">
        <v>88</v>
      </c>
      <c r="I26" s="472"/>
      <c r="J26" s="472"/>
      <c r="K26" s="472"/>
      <c r="L26" s="474" t="s">
        <v>89</v>
      </c>
      <c r="M26" s="471"/>
      <c r="N26" s="475"/>
      <c r="O26" s="148"/>
      <c r="P26" s="143"/>
    </row>
    <row r="27" spans="1:17" s="140" customFormat="1" ht="13.5" customHeight="1" x14ac:dyDescent="0.15">
      <c r="A27" s="143"/>
      <c r="B27" s="150"/>
      <c r="C27" s="150"/>
      <c r="D27" s="150">
        <f>SUM(B27+C27)</f>
        <v>0</v>
      </c>
      <c r="E27" s="467"/>
      <c r="F27" s="467"/>
      <c r="G27" s="150"/>
      <c r="H27" s="467">
        <f>SUM(G27+E27)</f>
        <v>0</v>
      </c>
      <c r="I27" s="467"/>
      <c r="J27" s="467"/>
      <c r="K27" s="467"/>
      <c r="L27" s="468">
        <f>SUM(H27-D27+J27)</f>
        <v>0</v>
      </c>
      <c r="M27" s="734"/>
      <c r="N27" s="469"/>
      <c r="O27" s="318"/>
      <c r="P27" s="143"/>
    </row>
    <row r="28" spans="1:17" s="140" customFormat="1" ht="8.1" customHeight="1" x14ac:dyDescent="0.15">
      <c r="A28" s="136"/>
      <c r="B28" s="136"/>
      <c r="C28" s="136"/>
      <c r="D28" s="136"/>
      <c r="E28" s="136"/>
      <c r="F28" s="136"/>
      <c r="G28" s="136"/>
      <c r="H28" s="136"/>
      <c r="I28" s="136"/>
      <c r="J28" s="136"/>
      <c r="K28" s="136"/>
      <c r="L28" s="136"/>
      <c r="M28" s="136"/>
      <c r="N28" s="136"/>
      <c r="O28" s="136"/>
      <c r="P28" s="136"/>
      <c r="Q28" s="200"/>
    </row>
    <row r="29" spans="1:17" s="140" customFormat="1" ht="15" customHeight="1" x14ac:dyDescent="0.15">
      <c r="A29" s="136"/>
      <c r="B29" s="470" t="s">
        <v>90</v>
      </c>
      <c r="C29" s="470"/>
      <c r="D29" s="470"/>
      <c r="E29" s="471"/>
      <c r="F29" s="471"/>
      <c r="G29" s="471"/>
      <c r="H29" s="471"/>
      <c r="I29" s="471"/>
      <c r="J29" s="143"/>
      <c r="K29" s="143"/>
      <c r="L29" s="136"/>
      <c r="M29" s="136"/>
      <c r="N29" s="136"/>
      <c r="O29" s="136"/>
      <c r="P29" s="136"/>
      <c r="Q29" s="200"/>
    </row>
    <row r="30" spans="1:17" s="140" customFormat="1" ht="13.5" customHeight="1" x14ac:dyDescent="0.15">
      <c r="A30" s="472" t="s">
        <v>91</v>
      </c>
      <c r="B30" s="453" t="s">
        <v>92</v>
      </c>
      <c r="C30" s="473"/>
      <c r="D30" s="476" t="s">
        <v>93</v>
      </c>
      <c r="E30" s="472" t="s">
        <v>94</v>
      </c>
      <c r="F30" s="472"/>
      <c r="G30" s="473" t="s">
        <v>196</v>
      </c>
      <c r="H30" s="453" t="s">
        <v>197</v>
      </c>
      <c r="I30" s="454"/>
      <c r="J30" s="463" t="s">
        <v>198</v>
      </c>
      <c r="K30" s="463" t="s">
        <v>199</v>
      </c>
      <c r="L30" s="463" t="s">
        <v>200</v>
      </c>
      <c r="M30" s="463" t="s">
        <v>201</v>
      </c>
      <c r="N30" s="465" t="s">
        <v>101</v>
      </c>
      <c r="O30" s="453" t="s">
        <v>102</v>
      </c>
      <c r="P30" s="454"/>
      <c r="Q30" s="3"/>
    </row>
    <row r="31" spans="1:17" s="140" customFormat="1" ht="13.5" customHeight="1" x14ac:dyDescent="0.15">
      <c r="A31" s="472"/>
      <c r="B31" s="474"/>
      <c r="C31" s="475"/>
      <c r="D31" s="474"/>
      <c r="E31" s="145" t="s">
        <v>19</v>
      </c>
      <c r="F31" s="145" t="s">
        <v>20</v>
      </c>
      <c r="G31" s="475"/>
      <c r="H31" s="455"/>
      <c r="I31" s="456"/>
      <c r="J31" s="480"/>
      <c r="K31" s="480"/>
      <c r="L31" s="464"/>
      <c r="M31" s="464"/>
      <c r="N31" s="465"/>
      <c r="O31" s="455"/>
      <c r="P31" s="456"/>
      <c r="Q31" s="3"/>
    </row>
    <row r="32" spans="1:17" s="140" customFormat="1" ht="26.1" customHeight="1" x14ac:dyDescent="0.15">
      <c r="A32" s="157"/>
      <c r="B32" s="732"/>
      <c r="C32" s="733"/>
      <c r="D32" s="159"/>
      <c r="E32" s="159"/>
      <c r="F32" s="147"/>
      <c r="G32" s="319"/>
      <c r="H32" s="492"/>
      <c r="I32" s="493"/>
      <c r="J32" s="161"/>
      <c r="K32" s="162"/>
      <c r="L32" s="163"/>
      <c r="M32" s="163"/>
      <c r="N32" s="163"/>
      <c r="O32" s="461"/>
      <c r="P32" s="462"/>
      <c r="Q32" s="3"/>
    </row>
    <row r="33" spans="1:17" s="140" customFormat="1" ht="26.1" customHeight="1" x14ac:dyDescent="0.15">
      <c r="A33" s="164"/>
      <c r="B33" s="730"/>
      <c r="C33" s="731"/>
      <c r="D33" s="166"/>
      <c r="E33" s="166"/>
      <c r="F33" s="166"/>
      <c r="G33" s="320"/>
      <c r="H33" s="451"/>
      <c r="I33" s="452"/>
      <c r="J33" s="168"/>
      <c r="K33" s="169"/>
      <c r="L33" s="170"/>
      <c r="M33" s="170"/>
      <c r="N33" s="170"/>
      <c r="O33" s="440"/>
      <c r="P33" s="441"/>
      <c r="Q33" s="3"/>
    </row>
    <row r="34" spans="1:17" s="140" customFormat="1" ht="26.1" customHeight="1" x14ac:dyDescent="0.15">
      <c r="A34" s="164"/>
      <c r="B34" s="730"/>
      <c r="C34" s="731"/>
      <c r="D34" s="166"/>
      <c r="E34" s="166"/>
      <c r="F34" s="166"/>
      <c r="G34" s="320"/>
      <c r="H34" s="451"/>
      <c r="I34" s="452"/>
      <c r="J34" s="168"/>
      <c r="K34" s="169"/>
      <c r="L34" s="170"/>
      <c r="M34" s="170"/>
      <c r="N34" s="170"/>
      <c r="O34" s="440"/>
      <c r="P34" s="441"/>
      <c r="Q34" s="3"/>
    </row>
    <row r="35" spans="1:17" ht="26.1" customHeight="1" x14ac:dyDescent="0.15">
      <c r="A35" s="164"/>
      <c r="B35" s="730"/>
      <c r="C35" s="731"/>
      <c r="D35" s="166"/>
      <c r="E35" s="166"/>
      <c r="F35" s="166"/>
      <c r="G35" s="320"/>
      <c r="H35" s="451"/>
      <c r="I35" s="452"/>
      <c r="J35" s="168"/>
      <c r="K35" s="169"/>
      <c r="L35" s="170"/>
      <c r="M35" s="170"/>
      <c r="N35" s="170"/>
      <c r="O35" s="440"/>
      <c r="P35" s="441"/>
    </row>
    <row r="36" spans="1:17" ht="26.1" customHeight="1" x14ac:dyDescent="0.15">
      <c r="A36" s="164"/>
      <c r="B36" s="730"/>
      <c r="C36" s="731"/>
      <c r="D36" s="166"/>
      <c r="E36" s="166"/>
      <c r="F36" s="166"/>
      <c r="G36" s="320"/>
      <c r="H36" s="451"/>
      <c r="I36" s="452"/>
      <c r="J36" s="168"/>
      <c r="K36" s="169"/>
      <c r="L36" s="170"/>
      <c r="M36" s="170"/>
      <c r="N36" s="170"/>
      <c r="O36" s="440"/>
      <c r="P36" s="441"/>
    </row>
    <row r="37" spans="1:17" ht="26.1" customHeight="1" x14ac:dyDescent="0.15">
      <c r="A37" s="173"/>
      <c r="B37" s="730"/>
      <c r="C37" s="731"/>
      <c r="D37" s="172"/>
      <c r="E37" s="172"/>
      <c r="F37" s="175"/>
      <c r="G37" s="321"/>
      <c r="H37" s="486"/>
      <c r="I37" s="487"/>
      <c r="J37" s="177"/>
      <c r="K37" s="178"/>
      <c r="L37" s="179"/>
      <c r="M37" s="179"/>
      <c r="N37" s="179"/>
      <c r="O37" s="446"/>
      <c r="P37" s="447"/>
    </row>
    <row r="38" spans="1:17" ht="13.5" customHeight="1" x14ac:dyDescent="0.15">
      <c r="A38" s="448" t="s">
        <v>103</v>
      </c>
      <c r="B38" s="449"/>
      <c r="C38" s="449"/>
      <c r="D38" s="450"/>
      <c r="E38" s="322"/>
      <c r="F38" s="180">
        <f>SUM(F32:F37)</f>
        <v>0</v>
      </c>
      <c r="G38" s="323"/>
      <c r="H38" s="143"/>
      <c r="I38" s="136"/>
      <c r="J38" s="324"/>
      <c r="K38" s="136"/>
      <c r="L38" s="183">
        <f>SUM(L32:L37)</f>
        <v>0</v>
      </c>
      <c r="M38" s="183">
        <f>SUM(M32:M37)</f>
        <v>0</v>
      </c>
      <c r="N38" s="183">
        <f>SUM(N32:N37)</f>
        <v>0</v>
      </c>
      <c r="O38" s="446">
        <f>SUM(L38-M38-N38)</f>
        <v>0</v>
      </c>
      <c r="P38" s="447"/>
    </row>
    <row r="39" spans="1:17" ht="12" customHeight="1" x14ac:dyDescent="0.15">
      <c r="B39" s="200"/>
      <c r="C39" s="200"/>
      <c r="D39" s="200"/>
      <c r="E39" s="200"/>
      <c r="F39" s="200"/>
      <c r="G39" s="200"/>
      <c r="H39" s="435"/>
      <c r="I39" s="435"/>
      <c r="J39" s="435"/>
      <c r="K39" s="435"/>
      <c r="L39" s="435"/>
      <c r="M39" s="435"/>
      <c r="N39" s="435"/>
      <c r="O39" s="435"/>
      <c r="P39" s="435"/>
      <c r="Q39" s="200"/>
    </row>
    <row r="40" spans="1:17" ht="8.1" customHeight="1" x14ac:dyDescent="0.15">
      <c r="B40" s="200"/>
      <c r="C40" s="200"/>
      <c r="D40" s="200"/>
      <c r="E40" s="200"/>
      <c r="F40" s="200"/>
      <c r="G40" s="200"/>
      <c r="H40" s="184"/>
      <c r="I40" s="184"/>
      <c r="J40" s="184"/>
      <c r="K40" s="184"/>
      <c r="L40" s="184"/>
      <c r="M40" s="184"/>
      <c r="N40" s="184"/>
      <c r="O40" s="184"/>
      <c r="P40" s="184"/>
      <c r="Q40" s="200"/>
    </row>
    <row r="41" spans="1:17" s="136" customFormat="1" ht="10.5" x14ac:dyDescent="0.15">
      <c r="B41" s="484" t="s">
        <v>202</v>
      </c>
      <c r="C41" s="484"/>
      <c r="D41" s="484"/>
      <c r="E41" s="484"/>
      <c r="F41" s="484"/>
      <c r="G41" s="484"/>
      <c r="H41" s="484"/>
      <c r="I41" s="484"/>
      <c r="J41" s="484"/>
      <c r="K41" s="484"/>
      <c r="L41" s="484"/>
      <c r="M41" s="484"/>
      <c r="N41" s="484"/>
      <c r="O41" s="184"/>
      <c r="P41" s="184"/>
      <c r="Q41" s="184"/>
    </row>
    <row r="42" spans="1:17" s="136" customFormat="1" ht="10.5" x14ac:dyDescent="0.15">
      <c r="B42" s="484" t="s">
        <v>203</v>
      </c>
      <c r="C42" s="484"/>
      <c r="D42" s="484"/>
      <c r="E42" s="484"/>
      <c r="F42" s="484"/>
      <c r="G42" s="484"/>
      <c r="H42" s="484"/>
      <c r="I42" s="484"/>
      <c r="J42" s="484"/>
      <c r="K42" s="484"/>
      <c r="L42" s="484"/>
      <c r="M42" s="484"/>
      <c r="N42" s="484"/>
      <c r="O42" s="184"/>
      <c r="P42" s="184"/>
      <c r="Q42" s="184"/>
    </row>
    <row r="43" spans="1:17" x14ac:dyDescent="0.15">
      <c r="B43" s="16"/>
      <c r="C43" s="16"/>
      <c r="D43" s="16"/>
      <c r="E43" s="16"/>
      <c r="F43" s="16"/>
      <c r="G43" s="16"/>
      <c r="H43" s="16"/>
      <c r="I43" s="16"/>
      <c r="J43" s="16"/>
      <c r="K43" s="16"/>
      <c r="L43" s="16"/>
      <c r="M43" s="16"/>
      <c r="N43" s="16"/>
    </row>
    <row r="44" spans="1:17" x14ac:dyDescent="0.15">
      <c r="B44" s="185"/>
      <c r="C44" s="185"/>
      <c r="D44" s="185"/>
      <c r="E44" s="185"/>
      <c r="F44" s="185"/>
      <c r="G44" s="185"/>
      <c r="H44" s="185"/>
      <c r="I44" s="185"/>
      <c r="J44" s="185"/>
      <c r="K44" s="185"/>
      <c r="L44" s="185"/>
      <c r="M44" s="185"/>
      <c r="N44" s="185"/>
    </row>
    <row r="45" spans="1:17" x14ac:dyDescent="0.15">
      <c r="B45" s="185"/>
      <c r="C45" s="185"/>
      <c r="D45" s="185"/>
      <c r="E45" s="185"/>
      <c r="F45" s="185"/>
      <c r="G45" s="185"/>
      <c r="H45" s="185"/>
      <c r="I45" s="185"/>
      <c r="J45" s="185"/>
      <c r="K45" s="185"/>
      <c r="L45" s="185"/>
      <c r="M45" s="185"/>
      <c r="N45" s="185"/>
    </row>
    <row r="46" spans="1:17" x14ac:dyDescent="0.15">
      <c r="B46" s="185"/>
      <c r="C46" s="185"/>
      <c r="D46" s="185"/>
      <c r="E46" s="185"/>
      <c r="F46" s="185"/>
      <c r="G46" s="185"/>
      <c r="H46" s="185"/>
      <c r="I46" s="185"/>
      <c r="J46" s="185"/>
      <c r="K46" s="185"/>
      <c r="L46" s="185"/>
      <c r="M46" s="185"/>
      <c r="N46" s="185"/>
    </row>
    <row r="47" spans="1:17" x14ac:dyDescent="0.15">
      <c r="B47" s="185"/>
      <c r="C47" s="185"/>
      <c r="D47" s="185"/>
      <c r="E47" s="185"/>
      <c r="F47" s="185"/>
      <c r="G47" s="185"/>
      <c r="H47" s="185"/>
      <c r="I47" s="185"/>
      <c r="J47" s="185"/>
      <c r="K47" s="185"/>
      <c r="L47" s="185"/>
      <c r="M47" s="185"/>
      <c r="N47" s="185"/>
    </row>
    <row r="48" spans="1:17" x14ac:dyDescent="0.15">
      <c r="B48" s="185"/>
      <c r="C48" s="185"/>
      <c r="D48" s="185"/>
      <c r="E48" s="185"/>
      <c r="F48" s="185"/>
      <c r="G48" s="185"/>
      <c r="H48" s="185"/>
      <c r="I48" s="185"/>
      <c r="J48" s="185"/>
      <c r="K48" s="185"/>
      <c r="L48" s="185"/>
      <c r="M48" s="185"/>
      <c r="N48" s="185"/>
    </row>
    <row r="49" spans="2:14" x14ac:dyDescent="0.15">
      <c r="B49" s="185"/>
      <c r="C49" s="185"/>
      <c r="D49" s="185"/>
      <c r="E49" s="185"/>
      <c r="F49" s="185"/>
      <c r="G49" s="185"/>
      <c r="H49" s="185"/>
      <c r="I49" s="185"/>
      <c r="J49" s="185"/>
      <c r="K49" s="185"/>
      <c r="L49" s="185"/>
      <c r="M49" s="185"/>
      <c r="N49" s="185"/>
    </row>
  </sheetData>
  <mergeCells count="60">
    <mergeCell ref="A1:P1"/>
    <mergeCell ref="B7:D7"/>
    <mergeCell ref="O12:P12"/>
    <mergeCell ref="O13:P13"/>
    <mergeCell ref="B20:D20"/>
    <mergeCell ref="G20:H20"/>
    <mergeCell ref="B21:D22"/>
    <mergeCell ref="E21:E22"/>
    <mergeCell ref="G21:K22"/>
    <mergeCell ref="L21:L22"/>
    <mergeCell ref="B24:D24"/>
    <mergeCell ref="E24:F24"/>
    <mergeCell ref="B25:D25"/>
    <mergeCell ref="E25:I25"/>
    <mergeCell ref="J25:K26"/>
    <mergeCell ref="L25:N25"/>
    <mergeCell ref="E26:F26"/>
    <mergeCell ref="H26:I26"/>
    <mergeCell ref="L26:N26"/>
    <mergeCell ref="E27:F27"/>
    <mergeCell ref="H27:I27"/>
    <mergeCell ref="J27:K27"/>
    <mergeCell ref="L27:N27"/>
    <mergeCell ref="B29:D29"/>
    <mergeCell ref="E29:I29"/>
    <mergeCell ref="O30:P31"/>
    <mergeCell ref="A30:A31"/>
    <mergeCell ref="B30:C31"/>
    <mergeCell ref="D30:D31"/>
    <mergeCell ref="E30:F30"/>
    <mergeCell ref="G30:G31"/>
    <mergeCell ref="H30:I31"/>
    <mergeCell ref="J30:J31"/>
    <mergeCell ref="K30:K31"/>
    <mergeCell ref="L30:L31"/>
    <mergeCell ref="M30:M31"/>
    <mergeCell ref="N30:N31"/>
    <mergeCell ref="B32:C32"/>
    <mergeCell ref="H32:I32"/>
    <mergeCell ref="O32:P32"/>
    <mergeCell ref="B33:C33"/>
    <mergeCell ref="H33:I33"/>
    <mergeCell ref="O33:P33"/>
    <mergeCell ref="B34:C34"/>
    <mergeCell ref="H34:I34"/>
    <mergeCell ref="O34:P34"/>
    <mergeCell ref="B35:C35"/>
    <mergeCell ref="H35:I35"/>
    <mergeCell ref="O35:P35"/>
    <mergeCell ref="B36:C36"/>
    <mergeCell ref="H36:I36"/>
    <mergeCell ref="O36:P36"/>
    <mergeCell ref="B37:C37"/>
    <mergeCell ref="H37:I37"/>
    <mergeCell ref="O37:P37"/>
    <mergeCell ref="A38:D38"/>
    <mergeCell ref="O38:P38"/>
    <mergeCell ref="H39:P39"/>
    <mergeCell ref="B41:N41"/>
    <mergeCell ref="B42:N42"/>
  </mergeCells>
  <phoneticPr fontId="3"/>
  <pageMargins left="0.78740157480314965" right="0.39370078740157483" top="0.39370078740157483" bottom="0.19685039370078741" header="0.51181102362204722" footer="0.59055118110236227"/>
  <pageSetup paperSize="9"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B81A3-9F34-411E-8E97-B9A1190A26FB}">
  <sheetPr codeName="Sheet17"/>
  <dimension ref="A1:Q84"/>
  <sheetViews>
    <sheetView zoomScaleNormal="120" workbookViewId="0">
      <selection sqref="A1:P1"/>
    </sheetView>
  </sheetViews>
  <sheetFormatPr defaultRowHeight="13.5" x14ac:dyDescent="0.15"/>
  <cols>
    <col min="1" max="1" width="3.125" style="3" customWidth="1"/>
    <col min="2" max="3" width="11.625" style="3" customWidth="1"/>
    <col min="4" max="4" width="12.625" style="3" customWidth="1"/>
    <col min="5" max="6" width="5.625" style="3" customWidth="1"/>
    <col min="7" max="7" width="10.625" style="3" customWidth="1"/>
    <col min="8" max="9" width="5.625" style="3" customWidth="1"/>
    <col min="10" max="10" width="10.625" style="3" customWidth="1"/>
    <col min="11" max="11" width="6.625" style="3" customWidth="1"/>
    <col min="12" max="12" width="10.625" style="3" customWidth="1"/>
    <col min="13" max="13" width="10.125" style="3" customWidth="1"/>
    <col min="14" max="14" width="6.875" style="3" hidden="1" customWidth="1"/>
    <col min="15" max="15" width="11.625" style="3" customWidth="1"/>
    <col min="16" max="16" width="4.125" style="3" customWidth="1"/>
    <col min="17" max="17" width="6" style="3" bestFit="1" customWidth="1"/>
    <col min="18" max="256" width="9" style="3"/>
    <col min="257" max="257" width="3.125" style="3" customWidth="1"/>
    <col min="258" max="259" width="11.625" style="3" customWidth="1"/>
    <col min="260" max="260" width="12.625" style="3" customWidth="1"/>
    <col min="261" max="262" width="5.625" style="3" customWidth="1"/>
    <col min="263" max="263" width="10.625" style="3" customWidth="1"/>
    <col min="264" max="265" width="5.625" style="3" customWidth="1"/>
    <col min="266" max="266" width="10.625" style="3" customWidth="1"/>
    <col min="267" max="267" width="6.625" style="3" customWidth="1"/>
    <col min="268" max="268" width="10.625" style="3" customWidth="1"/>
    <col min="269" max="269" width="10.125" style="3" customWidth="1"/>
    <col min="270" max="270" width="0" style="3" hidden="1" customWidth="1"/>
    <col min="271" max="271" width="11.625" style="3" customWidth="1"/>
    <col min="272" max="272" width="4.125" style="3" customWidth="1"/>
    <col min="273" max="273" width="6" style="3" bestFit="1" customWidth="1"/>
    <col min="274" max="512" width="9" style="3"/>
    <col min="513" max="513" width="3.125" style="3" customWidth="1"/>
    <col min="514" max="515" width="11.625" style="3" customWidth="1"/>
    <col min="516" max="516" width="12.625" style="3" customWidth="1"/>
    <col min="517" max="518" width="5.625" style="3" customWidth="1"/>
    <col min="519" max="519" width="10.625" style="3" customWidth="1"/>
    <col min="520" max="521" width="5.625" style="3" customWidth="1"/>
    <col min="522" max="522" width="10.625" style="3" customWidth="1"/>
    <col min="523" max="523" width="6.625" style="3" customWidth="1"/>
    <col min="524" max="524" width="10.625" style="3" customWidth="1"/>
    <col min="525" max="525" width="10.125" style="3" customWidth="1"/>
    <col min="526" max="526" width="0" style="3" hidden="1" customWidth="1"/>
    <col min="527" max="527" width="11.625" style="3" customWidth="1"/>
    <col min="528" max="528" width="4.125" style="3" customWidth="1"/>
    <col min="529" max="529" width="6" style="3" bestFit="1" customWidth="1"/>
    <col min="530" max="768" width="9" style="3"/>
    <col min="769" max="769" width="3.125" style="3" customWidth="1"/>
    <col min="770" max="771" width="11.625" style="3" customWidth="1"/>
    <col min="772" max="772" width="12.625" style="3" customWidth="1"/>
    <col min="773" max="774" width="5.625" style="3" customWidth="1"/>
    <col min="775" max="775" width="10.625" style="3" customWidth="1"/>
    <col min="776" max="777" width="5.625" style="3" customWidth="1"/>
    <col min="778" max="778" width="10.625" style="3" customWidth="1"/>
    <col min="779" max="779" width="6.625" style="3" customWidth="1"/>
    <col min="780" max="780" width="10.625" style="3" customWidth="1"/>
    <col min="781" max="781" width="10.125" style="3" customWidth="1"/>
    <col min="782" max="782" width="0" style="3" hidden="1" customWidth="1"/>
    <col min="783" max="783" width="11.625" style="3" customWidth="1"/>
    <col min="784" max="784" width="4.125" style="3" customWidth="1"/>
    <col min="785" max="785" width="6" style="3" bestFit="1" customWidth="1"/>
    <col min="786" max="1024" width="9" style="3"/>
    <col min="1025" max="1025" width="3.125" style="3" customWidth="1"/>
    <col min="1026" max="1027" width="11.625" style="3" customWidth="1"/>
    <col min="1028" max="1028" width="12.625" style="3" customWidth="1"/>
    <col min="1029" max="1030" width="5.625" style="3" customWidth="1"/>
    <col min="1031" max="1031" width="10.625" style="3" customWidth="1"/>
    <col min="1032" max="1033" width="5.625" style="3" customWidth="1"/>
    <col min="1034" max="1034" width="10.625" style="3" customWidth="1"/>
    <col min="1035" max="1035" width="6.625" style="3" customWidth="1"/>
    <col min="1036" max="1036" width="10.625" style="3" customWidth="1"/>
    <col min="1037" max="1037" width="10.125" style="3" customWidth="1"/>
    <col min="1038" max="1038" width="0" style="3" hidden="1" customWidth="1"/>
    <col min="1039" max="1039" width="11.625" style="3" customWidth="1"/>
    <col min="1040" max="1040" width="4.125" style="3" customWidth="1"/>
    <col min="1041" max="1041" width="6" style="3" bestFit="1" customWidth="1"/>
    <col min="1042" max="1280" width="9" style="3"/>
    <col min="1281" max="1281" width="3.125" style="3" customWidth="1"/>
    <col min="1282" max="1283" width="11.625" style="3" customWidth="1"/>
    <col min="1284" max="1284" width="12.625" style="3" customWidth="1"/>
    <col min="1285" max="1286" width="5.625" style="3" customWidth="1"/>
    <col min="1287" max="1287" width="10.625" style="3" customWidth="1"/>
    <col min="1288" max="1289" width="5.625" style="3" customWidth="1"/>
    <col min="1290" max="1290" width="10.625" style="3" customWidth="1"/>
    <col min="1291" max="1291" width="6.625" style="3" customWidth="1"/>
    <col min="1292" max="1292" width="10.625" style="3" customWidth="1"/>
    <col min="1293" max="1293" width="10.125" style="3" customWidth="1"/>
    <col min="1294" max="1294" width="0" style="3" hidden="1" customWidth="1"/>
    <col min="1295" max="1295" width="11.625" style="3" customWidth="1"/>
    <col min="1296" max="1296" width="4.125" style="3" customWidth="1"/>
    <col min="1297" max="1297" width="6" style="3" bestFit="1" customWidth="1"/>
    <col min="1298" max="1536" width="9" style="3"/>
    <col min="1537" max="1537" width="3.125" style="3" customWidth="1"/>
    <col min="1538" max="1539" width="11.625" style="3" customWidth="1"/>
    <col min="1540" max="1540" width="12.625" style="3" customWidth="1"/>
    <col min="1541" max="1542" width="5.625" style="3" customWidth="1"/>
    <col min="1543" max="1543" width="10.625" style="3" customWidth="1"/>
    <col min="1544" max="1545" width="5.625" style="3" customWidth="1"/>
    <col min="1546" max="1546" width="10.625" style="3" customWidth="1"/>
    <col min="1547" max="1547" width="6.625" style="3" customWidth="1"/>
    <col min="1548" max="1548" width="10.625" style="3" customWidth="1"/>
    <col min="1549" max="1549" width="10.125" style="3" customWidth="1"/>
    <col min="1550" max="1550" width="0" style="3" hidden="1" customWidth="1"/>
    <col min="1551" max="1551" width="11.625" style="3" customWidth="1"/>
    <col min="1552" max="1552" width="4.125" style="3" customWidth="1"/>
    <col min="1553" max="1553" width="6" style="3" bestFit="1" customWidth="1"/>
    <col min="1554" max="1792" width="9" style="3"/>
    <col min="1793" max="1793" width="3.125" style="3" customWidth="1"/>
    <col min="1794" max="1795" width="11.625" style="3" customWidth="1"/>
    <col min="1796" max="1796" width="12.625" style="3" customWidth="1"/>
    <col min="1797" max="1798" width="5.625" style="3" customWidth="1"/>
    <col min="1799" max="1799" width="10.625" style="3" customWidth="1"/>
    <col min="1800" max="1801" width="5.625" style="3" customWidth="1"/>
    <col min="1802" max="1802" width="10.625" style="3" customWidth="1"/>
    <col min="1803" max="1803" width="6.625" style="3" customWidth="1"/>
    <col min="1804" max="1804" width="10.625" style="3" customWidth="1"/>
    <col min="1805" max="1805" width="10.125" style="3" customWidth="1"/>
    <col min="1806" max="1806" width="0" style="3" hidden="1" customWidth="1"/>
    <col min="1807" max="1807" width="11.625" style="3" customWidth="1"/>
    <col min="1808" max="1808" width="4.125" style="3" customWidth="1"/>
    <col min="1809" max="1809" width="6" style="3" bestFit="1" customWidth="1"/>
    <col min="1810" max="2048" width="9" style="3"/>
    <col min="2049" max="2049" width="3.125" style="3" customWidth="1"/>
    <col min="2050" max="2051" width="11.625" style="3" customWidth="1"/>
    <col min="2052" max="2052" width="12.625" style="3" customWidth="1"/>
    <col min="2053" max="2054" width="5.625" style="3" customWidth="1"/>
    <col min="2055" max="2055" width="10.625" style="3" customWidth="1"/>
    <col min="2056" max="2057" width="5.625" style="3" customWidth="1"/>
    <col min="2058" max="2058" width="10.625" style="3" customWidth="1"/>
    <col min="2059" max="2059" width="6.625" style="3" customWidth="1"/>
    <col min="2060" max="2060" width="10.625" style="3" customWidth="1"/>
    <col min="2061" max="2061" width="10.125" style="3" customWidth="1"/>
    <col min="2062" max="2062" width="0" style="3" hidden="1" customWidth="1"/>
    <col min="2063" max="2063" width="11.625" style="3" customWidth="1"/>
    <col min="2064" max="2064" width="4.125" style="3" customWidth="1"/>
    <col min="2065" max="2065" width="6" style="3" bestFit="1" customWidth="1"/>
    <col min="2066" max="2304" width="9" style="3"/>
    <col min="2305" max="2305" width="3.125" style="3" customWidth="1"/>
    <col min="2306" max="2307" width="11.625" style="3" customWidth="1"/>
    <col min="2308" max="2308" width="12.625" style="3" customWidth="1"/>
    <col min="2309" max="2310" width="5.625" style="3" customWidth="1"/>
    <col min="2311" max="2311" width="10.625" style="3" customWidth="1"/>
    <col min="2312" max="2313" width="5.625" style="3" customWidth="1"/>
    <col min="2314" max="2314" width="10.625" style="3" customWidth="1"/>
    <col min="2315" max="2315" width="6.625" style="3" customWidth="1"/>
    <col min="2316" max="2316" width="10.625" style="3" customWidth="1"/>
    <col min="2317" max="2317" width="10.125" style="3" customWidth="1"/>
    <col min="2318" max="2318" width="0" style="3" hidden="1" customWidth="1"/>
    <col min="2319" max="2319" width="11.625" style="3" customWidth="1"/>
    <col min="2320" max="2320" width="4.125" style="3" customWidth="1"/>
    <col min="2321" max="2321" width="6" style="3" bestFit="1" customWidth="1"/>
    <col min="2322" max="2560" width="9" style="3"/>
    <col min="2561" max="2561" width="3.125" style="3" customWidth="1"/>
    <col min="2562" max="2563" width="11.625" style="3" customWidth="1"/>
    <col min="2564" max="2564" width="12.625" style="3" customWidth="1"/>
    <col min="2565" max="2566" width="5.625" style="3" customWidth="1"/>
    <col min="2567" max="2567" width="10.625" style="3" customWidth="1"/>
    <col min="2568" max="2569" width="5.625" style="3" customWidth="1"/>
    <col min="2570" max="2570" width="10.625" style="3" customWidth="1"/>
    <col min="2571" max="2571" width="6.625" style="3" customWidth="1"/>
    <col min="2572" max="2572" width="10.625" style="3" customWidth="1"/>
    <col min="2573" max="2573" width="10.125" style="3" customWidth="1"/>
    <col min="2574" max="2574" width="0" style="3" hidden="1" customWidth="1"/>
    <col min="2575" max="2575" width="11.625" style="3" customWidth="1"/>
    <col min="2576" max="2576" width="4.125" style="3" customWidth="1"/>
    <col min="2577" max="2577" width="6" style="3" bestFit="1" customWidth="1"/>
    <col min="2578" max="2816" width="9" style="3"/>
    <col min="2817" max="2817" width="3.125" style="3" customWidth="1"/>
    <col min="2818" max="2819" width="11.625" style="3" customWidth="1"/>
    <col min="2820" max="2820" width="12.625" style="3" customWidth="1"/>
    <col min="2821" max="2822" width="5.625" style="3" customWidth="1"/>
    <col min="2823" max="2823" width="10.625" style="3" customWidth="1"/>
    <col min="2824" max="2825" width="5.625" style="3" customWidth="1"/>
    <col min="2826" max="2826" width="10.625" style="3" customWidth="1"/>
    <col min="2827" max="2827" width="6.625" style="3" customWidth="1"/>
    <col min="2828" max="2828" width="10.625" style="3" customWidth="1"/>
    <col min="2829" max="2829" width="10.125" style="3" customWidth="1"/>
    <col min="2830" max="2830" width="0" style="3" hidden="1" customWidth="1"/>
    <col min="2831" max="2831" width="11.625" style="3" customWidth="1"/>
    <col min="2832" max="2832" width="4.125" style="3" customWidth="1"/>
    <col min="2833" max="2833" width="6" style="3" bestFit="1" customWidth="1"/>
    <col min="2834" max="3072" width="9" style="3"/>
    <col min="3073" max="3073" width="3.125" style="3" customWidth="1"/>
    <col min="3074" max="3075" width="11.625" style="3" customWidth="1"/>
    <col min="3076" max="3076" width="12.625" style="3" customWidth="1"/>
    <col min="3077" max="3078" width="5.625" style="3" customWidth="1"/>
    <col min="3079" max="3079" width="10.625" style="3" customWidth="1"/>
    <col min="3080" max="3081" width="5.625" style="3" customWidth="1"/>
    <col min="3082" max="3082" width="10.625" style="3" customWidth="1"/>
    <col min="3083" max="3083" width="6.625" style="3" customWidth="1"/>
    <col min="3084" max="3084" width="10.625" style="3" customWidth="1"/>
    <col min="3085" max="3085" width="10.125" style="3" customWidth="1"/>
    <col min="3086" max="3086" width="0" style="3" hidden="1" customWidth="1"/>
    <col min="3087" max="3087" width="11.625" style="3" customWidth="1"/>
    <col min="3088" max="3088" width="4.125" style="3" customWidth="1"/>
    <col min="3089" max="3089" width="6" style="3" bestFit="1" customWidth="1"/>
    <col min="3090" max="3328" width="9" style="3"/>
    <col min="3329" max="3329" width="3.125" style="3" customWidth="1"/>
    <col min="3330" max="3331" width="11.625" style="3" customWidth="1"/>
    <col min="3332" max="3332" width="12.625" style="3" customWidth="1"/>
    <col min="3333" max="3334" width="5.625" style="3" customWidth="1"/>
    <col min="3335" max="3335" width="10.625" style="3" customWidth="1"/>
    <col min="3336" max="3337" width="5.625" style="3" customWidth="1"/>
    <col min="3338" max="3338" width="10.625" style="3" customWidth="1"/>
    <col min="3339" max="3339" width="6.625" style="3" customWidth="1"/>
    <col min="3340" max="3340" width="10.625" style="3" customWidth="1"/>
    <col min="3341" max="3341" width="10.125" style="3" customWidth="1"/>
    <col min="3342" max="3342" width="0" style="3" hidden="1" customWidth="1"/>
    <col min="3343" max="3343" width="11.625" style="3" customWidth="1"/>
    <col min="3344" max="3344" width="4.125" style="3" customWidth="1"/>
    <col min="3345" max="3345" width="6" style="3" bestFit="1" customWidth="1"/>
    <col min="3346" max="3584" width="9" style="3"/>
    <col min="3585" max="3585" width="3.125" style="3" customWidth="1"/>
    <col min="3586" max="3587" width="11.625" style="3" customWidth="1"/>
    <col min="3588" max="3588" width="12.625" style="3" customWidth="1"/>
    <col min="3589" max="3590" width="5.625" style="3" customWidth="1"/>
    <col min="3591" max="3591" width="10.625" style="3" customWidth="1"/>
    <col min="3592" max="3593" width="5.625" style="3" customWidth="1"/>
    <col min="3594" max="3594" width="10.625" style="3" customWidth="1"/>
    <col min="3595" max="3595" width="6.625" style="3" customWidth="1"/>
    <col min="3596" max="3596" width="10.625" style="3" customWidth="1"/>
    <col min="3597" max="3597" width="10.125" style="3" customWidth="1"/>
    <col min="3598" max="3598" width="0" style="3" hidden="1" customWidth="1"/>
    <col min="3599" max="3599" width="11.625" style="3" customWidth="1"/>
    <col min="3600" max="3600" width="4.125" style="3" customWidth="1"/>
    <col min="3601" max="3601" width="6" style="3" bestFit="1" customWidth="1"/>
    <col min="3602" max="3840" width="9" style="3"/>
    <col min="3841" max="3841" width="3.125" style="3" customWidth="1"/>
    <col min="3842" max="3843" width="11.625" style="3" customWidth="1"/>
    <col min="3844" max="3844" width="12.625" style="3" customWidth="1"/>
    <col min="3845" max="3846" width="5.625" style="3" customWidth="1"/>
    <col min="3847" max="3847" width="10.625" style="3" customWidth="1"/>
    <col min="3848" max="3849" width="5.625" style="3" customWidth="1"/>
    <col min="3850" max="3850" width="10.625" style="3" customWidth="1"/>
    <col min="3851" max="3851" width="6.625" style="3" customWidth="1"/>
    <col min="3852" max="3852" width="10.625" style="3" customWidth="1"/>
    <col min="3853" max="3853" width="10.125" style="3" customWidth="1"/>
    <col min="3854" max="3854" width="0" style="3" hidden="1" customWidth="1"/>
    <col min="3855" max="3855" width="11.625" style="3" customWidth="1"/>
    <col min="3856" max="3856" width="4.125" style="3" customWidth="1"/>
    <col min="3857" max="3857" width="6" style="3" bestFit="1" customWidth="1"/>
    <col min="3858" max="4096" width="9" style="3"/>
    <col min="4097" max="4097" width="3.125" style="3" customWidth="1"/>
    <col min="4098" max="4099" width="11.625" style="3" customWidth="1"/>
    <col min="4100" max="4100" width="12.625" style="3" customWidth="1"/>
    <col min="4101" max="4102" width="5.625" style="3" customWidth="1"/>
    <col min="4103" max="4103" width="10.625" style="3" customWidth="1"/>
    <col min="4104" max="4105" width="5.625" style="3" customWidth="1"/>
    <col min="4106" max="4106" width="10.625" style="3" customWidth="1"/>
    <col min="4107" max="4107" width="6.625" style="3" customWidth="1"/>
    <col min="4108" max="4108" width="10.625" style="3" customWidth="1"/>
    <col min="4109" max="4109" width="10.125" style="3" customWidth="1"/>
    <col min="4110" max="4110" width="0" style="3" hidden="1" customWidth="1"/>
    <col min="4111" max="4111" width="11.625" style="3" customWidth="1"/>
    <col min="4112" max="4112" width="4.125" style="3" customWidth="1"/>
    <col min="4113" max="4113" width="6" style="3" bestFit="1" customWidth="1"/>
    <col min="4114" max="4352" width="9" style="3"/>
    <col min="4353" max="4353" width="3.125" style="3" customWidth="1"/>
    <col min="4354" max="4355" width="11.625" style="3" customWidth="1"/>
    <col min="4356" max="4356" width="12.625" style="3" customWidth="1"/>
    <col min="4357" max="4358" width="5.625" style="3" customWidth="1"/>
    <col min="4359" max="4359" width="10.625" style="3" customWidth="1"/>
    <col min="4360" max="4361" width="5.625" style="3" customWidth="1"/>
    <col min="4362" max="4362" width="10.625" style="3" customWidth="1"/>
    <col min="4363" max="4363" width="6.625" style="3" customWidth="1"/>
    <col min="4364" max="4364" width="10.625" style="3" customWidth="1"/>
    <col min="4365" max="4365" width="10.125" style="3" customWidth="1"/>
    <col min="4366" max="4366" width="0" style="3" hidden="1" customWidth="1"/>
    <col min="4367" max="4367" width="11.625" style="3" customWidth="1"/>
    <col min="4368" max="4368" width="4.125" style="3" customWidth="1"/>
    <col min="4369" max="4369" width="6" style="3" bestFit="1" customWidth="1"/>
    <col min="4370" max="4608" width="9" style="3"/>
    <col min="4609" max="4609" width="3.125" style="3" customWidth="1"/>
    <col min="4610" max="4611" width="11.625" style="3" customWidth="1"/>
    <col min="4612" max="4612" width="12.625" style="3" customWidth="1"/>
    <col min="4613" max="4614" width="5.625" style="3" customWidth="1"/>
    <col min="4615" max="4615" width="10.625" style="3" customWidth="1"/>
    <col min="4616" max="4617" width="5.625" style="3" customWidth="1"/>
    <col min="4618" max="4618" width="10.625" style="3" customWidth="1"/>
    <col min="4619" max="4619" width="6.625" style="3" customWidth="1"/>
    <col min="4620" max="4620" width="10.625" style="3" customWidth="1"/>
    <col min="4621" max="4621" width="10.125" style="3" customWidth="1"/>
    <col min="4622" max="4622" width="0" style="3" hidden="1" customWidth="1"/>
    <col min="4623" max="4623" width="11.625" style="3" customWidth="1"/>
    <col min="4624" max="4624" width="4.125" style="3" customWidth="1"/>
    <col min="4625" max="4625" width="6" style="3" bestFit="1" customWidth="1"/>
    <col min="4626" max="4864" width="9" style="3"/>
    <col min="4865" max="4865" width="3.125" style="3" customWidth="1"/>
    <col min="4866" max="4867" width="11.625" style="3" customWidth="1"/>
    <col min="4868" max="4868" width="12.625" style="3" customWidth="1"/>
    <col min="4869" max="4870" width="5.625" style="3" customWidth="1"/>
    <col min="4871" max="4871" width="10.625" style="3" customWidth="1"/>
    <col min="4872" max="4873" width="5.625" style="3" customWidth="1"/>
    <col min="4874" max="4874" width="10.625" style="3" customWidth="1"/>
    <col min="4875" max="4875" width="6.625" style="3" customWidth="1"/>
    <col min="4876" max="4876" width="10.625" style="3" customWidth="1"/>
    <col min="4877" max="4877" width="10.125" style="3" customWidth="1"/>
    <col min="4878" max="4878" width="0" style="3" hidden="1" customWidth="1"/>
    <col min="4879" max="4879" width="11.625" style="3" customWidth="1"/>
    <col min="4880" max="4880" width="4.125" style="3" customWidth="1"/>
    <col min="4881" max="4881" width="6" style="3" bestFit="1" customWidth="1"/>
    <col min="4882" max="5120" width="9" style="3"/>
    <col min="5121" max="5121" width="3.125" style="3" customWidth="1"/>
    <col min="5122" max="5123" width="11.625" style="3" customWidth="1"/>
    <col min="5124" max="5124" width="12.625" style="3" customWidth="1"/>
    <col min="5125" max="5126" width="5.625" style="3" customWidth="1"/>
    <col min="5127" max="5127" width="10.625" style="3" customWidth="1"/>
    <col min="5128" max="5129" width="5.625" style="3" customWidth="1"/>
    <col min="5130" max="5130" width="10.625" style="3" customWidth="1"/>
    <col min="5131" max="5131" width="6.625" style="3" customWidth="1"/>
    <col min="5132" max="5132" width="10.625" style="3" customWidth="1"/>
    <col min="5133" max="5133" width="10.125" style="3" customWidth="1"/>
    <col min="5134" max="5134" width="0" style="3" hidden="1" customWidth="1"/>
    <col min="5135" max="5135" width="11.625" style="3" customWidth="1"/>
    <col min="5136" max="5136" width="4.125" style="3" customWidth="1"/>
    <col min="5137" max="5137" width="6" style="3" bestFit="1" customWidth="1"/>
    <col min="5138" max="5376" width="9" style="3"/>
    <col min="5377" max="5377" width="3.125" style="3" customWidth="1"/>
    <col min="5378" max="5379" width="11.625" style="3" customWidth="1"/>
    <col min="5380" max="5380" width="12.625" style="3" customWidth="1"/>
    <col min="5381" max="5382" width="5.625" style="3" customWidth="1"/>
    <col min="5383" max="5383" width="10.625" style="3" customWidth="1"/>
    <col min="5384" max="5385" width="5.625" style="3" customWidth="1"/>
    <col min="5386" max="5386" width="10.625" style="3" customWidth="1"/>
    <col min="5387" max="5387" width="6.625" style="3" customWidth="1"/>
    <col min="5388" max="5388" width="10.625" style="3" customWidth="1"/>
    <col min="5389" max="5389" width="10.125" style="3" customWidth="1"/>
    <col min="5390" max="5390" width="0" style="3" hidden="1" customWidth="1"/>
    <col min="5391" max="5391" width="11.625" style="3" customWidth="1"/>
    <col min="5392" max="5392" width="4.125" style="3" customWidth="1"/>
    <col min="5393" max="5393" width="6" style="3" bestFit="1" customWidth="1"/>
    <col min="5394" max="5632" width="9" style="3"/>
    <col min="5633" max="5633" width="3.125" style="3" customWidth="1"/>
    <col min="5634" max="5635" width="11.625" style="3" customWidth="1"/>
    <col min="5636" max="5636" width="12.625" style="3" customWidth="1"/>
    <col min="5637" max="5638" width="5.625" style="3" customWidth="1"/>
    <col min="5639" max="5639" width="10.625" style="3" customWidth="1"/>
    <col min="5640" max="5641" width="5.625" style="3" customWidth="1"/>
    <col min="5642" max="5642" width="10.625" style="3" customWidth="1"/>
    <col min="5643" max="5643" width="6.625" style="3" customWidth="1"/>
    <col min="5644" max="5644" width="10.625" style="3" customWidth="1"/>
    <col min="5645" max="5645" width="10.125" style="3" customWidth="1"/>
    <col min="5646" max="5646" width="0" style="3" hidden="1" customWidth="1"/>
    <col min="5647" max="5647" width="11.625" style="3" customWidth="1"/>
    <col min="5648" max="5648" width="4.125" style="3" customWidth="1"/>
    <col min="5649" max="5649" width="6" style="3" bestFit="1" customWidth="1"/>
    <col min="5650" max="5888" width="9" style="3"/>
    <col min="5889" max="5889" width="3.125" style="3" customWidth="1"/>
    <col min="5890" max="5891" width="11.625" style="3" customWidth="1"/>
    <col min="5892" max="5892" width="12.625" style="3" customWidth="1"/>
    <col min="5893" max="5894" width="5.625" style="3" customWidth="1"/>
    <col min="5895" max="5895" width="10.625" style="3" customWidth="1"/>
    <col min="5896" max="5897" width="5.625" style="3" customWidth="1"/>
    <col min="5898" max="5898" width="10.625" style="3" customWidth="1"/>
    <col min="5899" max="5899" width="6.625" style="3" customWidth="1"/>
    <col min="5900" max="5900" width="10.625" style="3" customWidth="1"/>
    <col min="5901" max="5901" width="10.125" style="3" customWidth="1"/>
    <col min="5902" max="5902" width="0" style="3" hidden="1" customWidth="1"/>
    <col min="5903" max="5903" width="11.625" style="3" customWidth="1"/>
    <col min="5904" max="5904" width="4.125" style="3" customWidth="1"/>
    <col min="5905" max="5905" width="6" style="3" bestFit="1" customWidth="1"/>
    <col min="5906" max="6144" width="9" style="3"/>
    <col min="6145" max="6145" width="3.125" style="3" customWidth="1"/>
    <col min="6146" max="6147" width="11.625" style="3" customWidth="1"/>
    <col min="6148" max="6148" width="12.625" style="3" customWidth="1"/>
    <col min="6149" max="6150" width="5.625" style="3" customWidth="1"/>
    <col min="6151" max="6151" width="10.625" style="3" customWidth="1"/>
    <col min="6152" max="6153" width="5.625" style="3" customWidth="1"/>
    <col min="6154" max="6154" width="10.625" style="3" customWidth="1"/>
    <col min="6155" max="6155" width="6.625" style="3" customWidth="1"/>
    <col min="6156" max="6156" width="10.625" style="3" customWidth="1"/>
    <col min="6157" max="6157" width="10.125" style="3" customWidth="1"/>
    <col min="6158" max="6158" width="0" style="3" hidden="1" customWidth="1"/>
    <col min="6159" max="6159" width="11.625" style="3" customWidth="1"/>
    <col min="6160" max="6160" width="4.125" style="3" customWidth="1"/>
    <col min="6161" max="6161" width="6" style="3" bestFit="1" customWidth="1"/>
    <col min="6162" max="6400" width="9" style="3"/>
    <col min="6401" max="6401" width="3.125" style="3" customWidth="1"/>
    <col min="6402" max="6403" width="11.625" style="3" customWidth="1"/>
    <col min="6404" max="6404" width="12.625" style="3" customWidth="1"/>
    <col min="6405" max="6406" width="5.625" style="3" customWidth="1"/>
    <col min="6407" max="6407" width="10.625" style="3" customWidth="1"/>
    <col min="6408" max="6409" width="5.625" style="3" customWidth="1"/>
    <col min="6410" max="6410" width="10.625" style="3" customWidth="1"/>
    <col min="6411" max="6411" width="6.625" style="3" customWidth="1"/>
    <col min="6412" max="6412" width="10.625" style="3" customWidth="1"/>
    <col min="6413" max="6413" width="10.125" style="3" customWidth="1"/>
    <col min="6414" max="6414" width="0" style="3" hidden="1" customWidth="1"/>
    <col min="6415" max="6415" width="11.625" style="3" customWidth="1"/>
    <col min="6416" max="6416" width="4.125" style="3" customWidth="1"/>
    <col min="6417" max="6417" width="6" style="3" bestFit="1" customWidth="1"/>
    <col min="6418" max="6656" width="9" style="3"/>
    <col min="6657" max="6657" width="3.125" style="3" customWidth="1"/>
    <col min="6658" max="6659" width="11.625" style="3" customWidth="1"/>
    <col min="6660" max="6660" width="12.625" style="3" customWidth="1"/>
    <col min="6661" max="6662" width="5.625" style="3" customWidth="1"/>
    <col min="6663" max="6663" width="10.625" style="3" customWidth="1"/>
    <col min="6664" max="6665" width="5.625" style="3" customWidth="1"/>
    <col min="6666" max="6666" width="10.625" style="3" customWidth="1"/>
    <col min="6667" max="6667" width="6.625" style="3" customWidth="1"/>
    <col min="6668" max="6668" width="10.625" style="3" customWidth="1"/>
    <col min="6669" max="6669" width="10.125" style="3" customWidth="1"/>
    <col min="6670" max="6670" width="0" style="3" hidden="1" customWidth="1"/>
    <col min="6671" max="6671" width="11.625" style="3" customWidth="1"/>
    <col min="6672" max="6672" width="4.125" style="3" customWidth="1"/>
    <col min="6673" max="6673" width="6" style="3" bestFit="1" customWidth="1"/>
    <col min="6674" max="6912" width="9" style="3"/>
    <col min="6913" max="6913" width="3.125" style="3" customWidth="1"/>
    <col min="6914" max="6915" width="11.625" style="3" customWidth="1"/>
    <col min="6916" max="6916" width="12.625" style="3" customWidth="1"/>
    <col min="6917" max="6918" width="5.625" style="3" customWidth="1"/>
    <col min="6919" max="6919" width="10.625" style="3" customWidth="1"/>
    <col min="6920" max="6921" width="5.625" style="3" customWidth="1"/>
    <col min="6922" max="6922" width="10.625" style="3" customWidth="1"/>
    <col min="6923" max="6923" width="6.625" style="3" customWidth="1"/>
    <col min="6924" max="6924" width="10.625" style="3" customWidth="1"/>
    <col min="6925" max="6925" width="10.125" style="3" customWidth="1"/>
    <col min="6926" max="6926" width="0" style="3" hidden="1" customWidth="1"/>
    <col min="6927" max="6927" width="11.625" style="3" customWidth="1"/>
    <col min="6928" max="6928" width="4.125" style="3" customWidth="1"/>
    <col min="6929" max="6929" width="6" style="3" bestFit="1" customWidth="1"/>
    <col min="6930" max="7168" width="9" style="3"/>
    <col min="7169" max="7169" width="3.125" style="3" customWidth="1"/>
    <col min="7170" max="7171" width="11.625" style="3" customWidth="1"/>
    <col min="7172" max="7172" width="12.625" style="3" customWidth="1"/>
    <col min="7173" max="7174" width="5.625" style="3" customWidth="1"/>
    <col min="7175" max="7175" width="10.625" style="3" customWidth="1"/>
    <col min="7176" max="7177" width="5.625" style="3" customWidth="1"/>
    <col min="7178" max="7178" width="10.625" style="3" customWidth="1"/>
    <col min="7179" max="7179" width="6.625" style="3" customWidth="1"/>
    <col min="7180" max="7180" width="10.625" style="3" customWidth="1"/>
    <col min="7181" max="7181" width="10.125" style="3" customWidth="1"/>
    <col min="7182" max="7182" width="0" style="3" hidden="1" customWidth="1"/>
    <col min="7183" max="7183" width="11.625" style="3" customWidth="1"/>
    <col min="7184" max="7184" width="4.125" style="3" customWidth="1"/>
    <col min="7185" max="7185" width="6" style="3" bestFit="1" customWidth="1"/>
    <col min="7186" max="7424" width="9" style="3"/>
    <col min="7425" max="7425" width="3.125" style="3" customWidth="1"/>
    <col min="7426" max="7427" width="11.625" style="3" customWidth="1"/>
    <col min="7428" max="7428" width="12.625" style="3" customWidth="1"/>
    <col min="7429" max="7430" width="5.625" style="3" customWidth="1"/>
    <col min="7431" max="7431" width="10.625" style="3" customWidth="1"/>
    <col min="7432" max="7433" width="5.625" style="3" customWidth="1"/>
    <col min="7434" max="7434" width="10.625" style="3" customWidth="1"/>
    <col min="7435" max="7435" width="6.625" style="3" customWidth="1"/>
    <col min="7436" max="7436" width="10.625" style="3" customWidth="1"/>
    <col min="7437" max="7437" width="10.125" style="3" customWidth="1"/>
    <col min="7438" max="7438" width="0" style="3" hidden="1" customWidth="1"/>
    <col min="7439" max="7439" width="11.625" style="3" customWidth="1"/>
    <col min="7440" max="7440" width="4.125" style="3" customWidth="1"/>
    <col min="7441" max="7441" width="6" style="3" bestFit="1" customWidth="1"/>
    <col min="7442" max="7680" width="9" style="3"/>
    <col min="7681" max="7681" width="3.125" style="3" customWidth="1"/>
    <col min="7682" max="7683" width="11.625" style="3" customWidth="1"/>
    <col min="7684" max="7684" width="12.625" style="3" customWidth="1"/>
    <col min="7685" max="7686" width="5.625" style="3" customWidth="1"/>
    <col min="7687" max="7687" width="10.625" style="3" customWidth="1"/>
    <col min="7688" max="7689" width="5.625" style="3" customWidth="1"/>
    <col min="7690" max="7690" width="10.625" style="3" customWidth="1"/>
    <col min="7691" max="7691" width="6.625" style="3" customWidth="1"/>
    <col min="7692" max="7692" width="10.625" style="3" customWidth="1"/>
    <col min="7693" max="7693" width="10.125" style="3" customWidth="1"/>
    <col min="7694" max="7694" width="0" style="3" hidden="1" customWidth="1"/>
    <col min="7695" max="7695" width="11.625" style="3" customWidth="1"/>
    <col min="7696" max="7696" width="4.125" style="3" customWidth="1"/>
    <col min="7697" max="7697" width="6" style="3" bestFit="1" customWidth="1"/>
    <col min="7698" max="7936" width="9" style="3"/>
    <col min="7937" max="7937" width="3.125" style="3" customWidth="1"/>
    <col min="7938" max="7939" width="11.625" style="3" customWidth="1"/>
    <col min="7940" max="7940" width="12.625" style="3" customWidth="1"/>
    <col min="7941" max="7942" width="5.625" style="3" customWidth="1"/>
    <col min="7943" max="7943" width="10.625" style="3" customWidth="1"/>
    <col min="7944" max="7945" width="5.625" style="3" customWidth="1"/>
    <col min="7946" max="7946" width="10.625" style="3" customWidth="1"/>
    <col min="7947" max="7947" width="6.625" style="3" customWidth="1"/>
    <col min="7948" max="7948" width="10.625" style="3" customWidth="1"/>
    <col min="7949" max="7949" width="10.125" style="3" customWidth="1"/>
    <col min="7950" max="7950" width="0" style="3" hidden="1" customWidth="1"/>
    <col min="7951" max="7951" width="11.625" style="3" customWidth="1"/>
    <col min="7952" max="7952" width="4.125" style="3" customWidth="1"/>
    <col min="7953" max="7953" width="6" style="3" bestFit="1" customWidth="1"/>
    <col min="7954" max="8192" width="9" style="3"/>
    <col min="8193" max="8193" width="3.125" style="3" customWidth="1"/>
    <col min="8194" max="8195" width="11.625" style="3" customWidth="1"/>
    <col min="8196" max="8196" width="12.625" style="3" customWidth="1"/>
    <col min="8197" max="8198" width="5.625" style="3" customWidth="1"/>
    <col min="8199" max="8199" width="10.625" style="3" customWidth="1"/>
    <col min="8200" max="8201" width="5.625" style="3" customWidth="1"/>
    <col min="8202" max="8202" width="10.625" style="3" customWidth="1"/>
    <col min="8203" max="8203" width="6.625" style="3" customWidth="1"/>
    <col min="8204" max="8204" width="10.625" style="3" customWidth="1"/>
    <col min="8205" max="8205" width="10.125" style="3" customWidth="1"/>
    <col min="8206" max="8206" width="0" style="3" hidden="1" customWidth="1"/>
    <col min="8207" max="8207" width="11.625" style="3" customWidth="1"/>
    <col min="8208" max="8208" width="4.125" style="3" customWidth="1"/>
    <col min="8209" max="8209" width="6" style="3" bestFit="1" customWidth="1"/>
    <col min="8210" max="8448" width="9" style="3"/>
    <col min="8449" max="8449" width="3.125" style="3" customWidth="1"/>
    <col min="8450" max="8451" width="11.625" style="3" customWidth="1"/>
    <col min="8452" max="8452" width="12.625" style="3" customWidth="1"/>
    <col min="8453" max="8454" width="5.625" style="3" customWidth="1"/>
    <col min="8455" max="8455" width="10.625" style="3" customWidth="1"/>
    <col min="8456" max="8457" width="5.625" style="3" customWidth="1"/>
    <col min="8458" max="8458" width="10.625" style="3" customWidth="1"/>
    <col min="8459" max="8459" width="6.625" style="3" customWidth="1"/>
    <col min="8460" max="8460" width="10.625" style="3" customWidth="1"/>
    <col min="8461" max="8461" width="10.125" style="3" customWidth="1"/>
    <col min="8462" max="8462" width="0" style="3" hidden="1" customWidth="1"/>
    <col min="8463" max="8463" width="11.625" style="3" customWidth="1"/>
    <col min="8464" max="8464" width="4.125" style="3" customWidth="1"/>
    <col min="8465" max="8465" width="6" style="3" bestFit="1" customWidth="1"/>
    <col min="8466" max="8704" width="9" style="3"/>
    <col min="8705" max="8705" width="3.125" style="3" customWidth="1"/>
    <col min="8706" max="8707" width="11.625" style="3" customWidth="1"/>
    <col min="8708" max="8708" width="12.625" style="3" customWidth="1"/>
    <col min="8709" max="8710" width="5.625" style="3" customWidth="1"/>
    <col min="8711" max="8711" width="10.625" style="3" customWidth="1"/>
    <col min="8712" max="8713" width="5.625" style="3" customWidth="1"/>
    <col min="8714" max="8714" width="10.625" style="3" customWidth="1"/>
    <col min="8715" max="8715" width="6.625" style="3" customWidth="1"/>
    <col min="8716" max="8716" width="10.625" style="3" customWidth="1"/>
    <col min="8717" max="8717" width="10.125" style="3" customWidth="1"/>
    <col min="8718" max="8718" width="0" style="3" hidden="1" customWidth="1"/>
    <col min="8719" max="8719" width="11.625" style="3" customWidth="1"/>
    <col min="8720" max="8720" width="4.125" style="3" customWidth="1"/>
    <col min="8721" max="8721" width="6" style="3" bestFit="1" customWidth="1"/>
    <col min="8722" max="8960" width="9" style="3"/>
    <col min="8961" max="8961" width="3.125" style="3" customWidth="1"/>
    <col min="8962" max="8963" width="11.625" style="3" customWidth="1"/>
    <col min="8964" max="8964" width="12.625" style="3" customWidth="1"/>
    <col min="8965" max="8966" width="5.625" style="3" customWidth="1"/>
    <col min="8967" max="8967" width="10.625" style="3" customWidth="1"/>
    <col min="8968" max="8969" width="5.625" style="3" customWidth="1"/>
    <col min="8970" max="8970" width="10.625" style="3" customWidth="1"/>
    <col min="8971" max="8971" width="6.625" style="3" customWidth="1"/>
    <col min="8972" max="8972" width="10.625" style="3" customWidth="1"/>
    <col min="8973" max="8973" width="10.125" style="3" customWidth="1"/>
    <col min="8974" max="8974" width="0" style="3" hidden="1" customWidth="1"/>
    <col min="8975" max="8975" width="11.625" style="3" customWidth="1"/>
    <col min="8976" max="8976" width="4.125" style="3" customWidth="1"/>
    <col min="8977" max="8977" width="6" style="3" bestFit="1" customWidth="1"/>
    <col min="8978" max="9216" width="9" style="3"/>
    <col min="9217" max="9217" width="3.125" style="3" customWidth="1"/>
    <col min="9218" max="9219" width="11.625" style="3" customWidth="1"/>
    <col min="9220" max="9220" width="12.625" style="3" customWidth="1"/>
    <col min="9221" max="9222" width="5.625" style="3" customWidth="1"/>
    <col min="9223" max="9223" width="10.625" style="3" customWidth="1"/>
    <col min="9224" max="9225" width="5.625" style="3" customWidth="1"/>
    <col min="9226" max="9226" width="10.625" style="3" customWidth="1"/>
    <col min="9227" max="9227" width="6.625" style="3" customWidth="1"/>
    <col min="9228" max="9228" width="10.625" style="3" customWidth="1"/>
    <col min="9229" max="9229" width="10.125" style="3" customWidth="1"/>
    <col min="9230" max="9230" width="0" style="3" hidden="1" customWidth="1"/>
    <col min="9231" max="9231" width="11.625" style="3" customWidth="1"/>
    <col min="9232" max="9232" width="4.125" style="3" customWidth="1"/>
    <col min="9233" max="9233" width="6" style="3" bestFit="1" customWidth="1"/>
    <col min="9234" max="9472" width="9" style="3"/>
    <col min="9473" max="9473" width="3.125" style="3" customWidth="1"/>
    <col min="9474" max="9475" width="11.625" style="3" customWidth="1"/>
    <col min="9476" max="9476" width="12.625" style="3" customWidth="1"/>
    <col min="9477" max="9478" width="5.625" style="3" customWidth="1"/>
    <col min="9479" max="9479" width="10.625" style="3" customWidth="1"/>
    <col min="9480" max="9481" width="5.625" style="3" customWidth="1"/>
    <col min="9482" max="9482" width="10.625" style="3" customWidth="1"/>
    <col min="9483" max="9483" width="6.625" style="3" customWidth="1"/>
    <col min="9484" max="9484" width="10.625" style="3" customWidth="1"/>
    <col min="9485" max="9485" width="10.125" style="3" customWidth="1"/>
    <col min="9486" max="9486" width="0" style="3" hidden="1" customWidth="1"/>
    <col min="9487" max="9487" width="11.625" style="3" customWidth="1"/>
    <col min="9488" max="9488" width="4.125" style="3" customWidth="1"/>
    <col min="9489" max="9489" width="6" style="3" bestFit="1" customWidth="1"/>
    <col min="9490" max="9728" width="9" style="3"/>
    <col min="9729" max="9729" width="3.125" style="3" customWidth="1"/>
    <col min="9730" max="9731" width="11.625" style="3" customWidth="1"/>
    <col min="9732" max="9732" width="12.625" style="3" customWidth="1"/>
    <col min="9733" max="9734" width="5.625" style="3" customWidth="1"/>
    <col min="9735" max="9735" width="10.625" style="3" customWidth="1"/>
    <col min="9736" max="9737" width="5.625" style="3" customWidth="1"/>
    <col min="9738" max="9738" width="10.625" style="3" customWidth="1"/>
    <col min="9739" max="9739" width="6.625" style="3" customWidth="1"/>
    <col min="9740" max="9740" width="10.625" style="3" customWidth="1"/>
    <col min="9741" max="9741" width="10.125" style="3" customWidth="1"/>
    <col min="9742" max="9742" width="0" style="3" hidden="1" customWidth="1"/>
    <col min="9743" max="9743" width="11.625" style="3" customWidth="1"/>
    <col min="9744" max="9744" width="4.125" style="3" customWidth="1"/>
    <col min="9745" max="9745" width="6" style="3" bestFit="1" customWidth="1"/>
    <col min="9746" max="9984" width="9" style="3"/>
    <col min="9985" max="9985" width="3.125" style="3" customWidth="1"/>
    <col min="9986" max="9987" width="11.625" style="3" customWidth="1"/>
    <col min="9988" max="9988" width="12.625" style="3" customWidth="1"/>
    <col min="9989" max="9990" width="5.625" style="3" customWidth="1"/>
    <col min="9991" max="9991" width="10.625" style="3" customWidth="1"/>
    <col min="9992" max="9993" width="5.625" style="3" customWidth="1"/>
    <col min="9994" max="9994" width="10.625" style="3" customWidth="1"/>
    <col min="9995" max="9995" width="6.625" style="3" customWidth="1"/>
    <col min="9996" max="9996" width="10.625" style="3" customWidth="1"/>
    <col min="9997" max="9997" width="10.125" style="3" customWidth="1"/>
    <col min="9998" max="9998" width="0" style="3" hidden="1" customWidth="1"/>
    <col min="9999" max="9999" width="11.625" style="3" customWidth="1"/>
    <col min="10000" max="10000" width="4.125" style="3" customWidth="1"/>
    <col min="10001" max="10001" width="6" style="3" bestFit="1" customWidth="1"/>
    <col min="10002" max="10240" width="9" style="3"/>
    <col min="10241" max="10241" width="3.125" style="3" customWidth="1"/>
    <col min="10242" max="10243" width="11.625" style="3" customWidth="1"/>
    <col min="10244" max="10244" width="12.625" style="3" customWidth="1"/>
    <col min="10245" max="10246" width="5.625" style="3" customWidth="1"/>
    <col min="10247" max="10247" width="10.625" style="3" customWidth="1"/>
    <col min="10248" max="10249" width="5.625" style="3" customWidth="1"/>
    <col min="10250" max="10250" width="10.625" style="3" customWidth="1"/>
    <col min="10251" max="10251" width="6.625" style="3" customWidth="1"/>
    <col min="10252" max="10252" width="10.625" style="3" customWidth="1"/>
    <col min="10253" max="10253" width="10.125" style="3" customWidth="1"/>
    <col min="10254" max="10254" width="0" style="3" hidden="1" customWidth="1"/>
    <col min="10255" max="10255" width="11.625" style="3" customWidth="1"/>
    <col min="10256" max="10256" width="4.125" style="3" customWidth="1"/>
    <col min="10257" max="10257" width="6" style="3" bestFit="1" customWidth="1"/>
    <col min="10258" max="10496" width="9" style="3"/>
    <col min="10497" max="10497" width="3.125" style="3" customWidth="1"/>
    <col min="10498" max="10499" width="11.625" style="3" customWidth="1"/>
    <col min="10500" max="10500" width="12.625" style="3" customWidth="1"/>
    <col min="10501" max="10502" width="5.625" style="3" customWidth="1"/>
    <col min="10503" max="10503" width="10.625" style="3" customWidth="1"/>
    <col min="10504" max="10505" width="5.625" style="3" customWidth="1"/>
    <col min="10506" max="10506" width="10.625" style="3" customWidth="1"/>
    <col min="10507" max="10507" width="6.625" style="3" customWidth="1"/>
    <col min="10508" max="10508" width="10.625" style="3" customWidth="1"/>
    <col min="10509" max="10509" width="10.125" style="3" customWidth="1"/>
    <col min="10510" max="10510" width="0" style="3" hidden="1" customWidth="1"/>
    <col min="10511" max="10511" width="11.625" style="3" customWidth="1"/>
    <col min="10512" max="10512" width="4.125" style="3" customWidth="1"/>
    <col min="10513" max="10513" width="6" style="3" bestFit="1" customWidth="1"/>
    <col min="10514" max="10752" width="9" style="3"/>
    <col min="10753" max="10753" width="3.125" style="3" customWidth="1"/>
    <col min="10754" max="10755" width="11.625" style="3" customWidth="1"/>
    <col min="10756" max="10756" width="12.625" style="3" customWidth="1"/>
    <col min="10757" max="10758" width="5.625" style="3" customWidth="1"/>
    <col min="10759" max="10759" width="10.625" style="3" customWidth="1"/>
    <col min="10760" max="10761" width="5.625" style="3" customWidth="1"/>
    <col min="10762" max="10762" width="10.625" style="3" customWidth="1"/>
    <col min="10763" max="10763" width="6.625" style="3" customWidth="1"/>
    <col min="10764" max="10764" width="10.625" style="3" customWidth="1"/>
    <col min="10765" max="10765" width="10.125" style="3" customWidth="1"/>
    <col min="10766" max="10766" width="0" style="3" hidden="1" customWidth="1"/>
    <col min="10767" max="10767" width="11.625" style="3" customWidth="1"/>
    <col min="10768" max="10768" width="4.125" style="3" customWidth="1"/>
    <col min="10769" max="10769" width="6" style="3" bestFit="1" customWidth="1"/>
    <col min="10770" max="11008" width="9" style="3"/>
    <col min="11009" max="11009" width="3.125" style="3" customWidth="1"/>
    <col min="11010" max="11011" width="11.625" style="3" customWidth="1"/>
    <col min="11012" max="11012" width="12.625" style="3" customWidth="1"/>
    <col min="11013" max="11014" width="5.625" style="3" customWidth="1"/>
    <col min="11015" max="11015" width="10.625" style="3" customWidth="1"/>
    <col min="11016" max="11017" width="5.625" style="3" customWidth="1"/>
    <col min="11018" max="11018" width="10.625" style="3" customWidth="1"/>
    <col min="11019" max="11019" width="6.625" style="3" customWidth="1"/>
    <col min="11020" max="11020" width="10.625" style="3" customWidth="1"/>
    <col min="11021" max="11021" width="10.125" style="3" customWidth="1"/>
    <col min="11022" max="11022" width="0" style="3" hidden="1" customWidth="1"/>
    <col min="11023" max="11023" width="11.625" style="3" customWidth="1"/>
    <col min="11024" max="11024" width="4.125" style="3" customWidth="1"/>
    <col min="11025" max="11025" width="6" style="3" bestFit="1" customWidth="1"/>
    <col min="11026" max="11264" width="9" style="3"/>
    <col min="11265" max="11265" width="3.125" style="3" customWidth="1"/>
    <col min="11266" max="11267" width="11.625" style="3" customWidth="1"/>
    <col min="11268" max="11268" width="12.625" style="3" customWidth="1"/>
    <col min="11269" max="11270" width="5.625" style="3" customWidth="1"/>
    <col min="11271" max="11271" width="10.625" style="3" customWidth="1"/>
    <col min="11272" max="11273" width="5.625" style="3" customWidth="1"/>
    <col min="11274" max="11274" width="10.625" style="3" customWidth="1"/>
    <col min="11275" max="11275" width="6.625" style="3" customWidth="1"/>
    <col min="11276" max="11276" width="10.625" style="3" customWidth="1"/>
    <col min="11277" max="11277" width="10.125" style="3" customWidth="1"/>
    <col min="11278" max="11278" width="0" style="3" hidden="1" customWidth="1"/>
    <col min="11279" max="11279" width="11.625" style="3" customWidth="1"/>
    <col min="11280" max="11280" width="4.125" style="3" customWidth="1"/>
    <col min="11281" max="11281" width="6" style="3" bestFit="1" customWidth="1"/>
    <col min="11282" max="11520" width="9" style="3"/>
    <col min="11521" max="11521" width="3.125" style="3" customWidth="1"/>
    <col min="11522" max="11523" width="11.625" style="3" customWidth="1"/>
    <col min="11524" max="11524" width="12.625" style="3" customWidth="1"/>
    <col min="11525" max="11526" width="5.625" style="3" customWidth="1"/>
    <col min="11527" max="11527" width="10.625" style="3" customWidth="1"/>
    <col min="11528" max="11529" width="5.625" style="3" customWidth="1"/>
    <col min="11530" max="11530" width="10.625" style="3" customWidth="1"/>
    <col min="11531" max="11531" width="6.625" style="3" customWidth="1"/>
    <col min="11532" max="11532" width="10.625" style="3" customWidth="1"/>
    <col min="11533" max="11533" width="10.125" style="3" customWidth="1"/>
    <col min="11534" max="11534" width="0" style="3" hidden="1" customWidth="1"/>
    <col min="11535" max="11535" width="11.625" style="3" customWidth="1"/>
    <col min="11536" max="11536" width="4.125" style="3" customWidth="1"/>
    <col min="11537" max="11537" width="6" style="3" bestFit="1" customWidth="1"/>
    <col min="11538" max="11776" width="9" style="3"/>
    <col min="11777" max="11777" width="3.125" style="3" customWidth="1"/>
    <col min="11778" max="11779" width="11.625" style="3" customWidth="1"/>
    <col min="11780" max="11780" width="12.625" style="3" customWidth="1"/>
    <col min="11781" max="11782" width="5.625" style="3" customWidth="1"/>
    <col min="11783" max="11783" width="10.625" style="3" customWidth="1"/>
    <col min="11784" max="11785" width="5.625" style="3" customWidth="1"/>
    <col min="11786" max="11786" width="10.625" style="3" customWidth="1"/>
    <col min="11787" max="11787" width="6.625" style="3" customWidth="1"/>
    <col min="11788" max="11788" width="10.625" style="3" customWidth="1"/>
    <col min="11789" max="11789" width="10.125" style="3" customWidth="1"/>
    <col min="11790" max="11790" width="0" style="3" hidden="1" customWidth="1"/>
    <col min="11791" max="11791" width="11.625" style="3" customWidth="1"/>
    <col min="11792" max="11792" width="4.125" style="3" customWidth="1"/>
    <col min="11793" max="11793" width="6" style="3" bestFit="1" customWidth="1"/>
    <col min="11794" max="12032" width="9" style="3"/>
    <col min="12033" max="12033" width="3.125" style="3" customWidth="1"/>
    <col min="12034" max="12035" width="11.625" style="3" customWidth="1"/>
    <col min="12036" max="12036" width="12.625" style="3" customWidth="1"/>
    <col min="12037" max="12038" width="5.625" style="3" customWidth="1"/>
    <col min="12039" max="12039" width="10.625" style="3" customWidth="1"/>
    <col min="12040" max="12041" width="5.625" style="3" customWidth="1"/>
    <col min="12042" max="12042" width="10.625" style="3" customWidth="1"/>
    <col min="12043" max="12043" width="6.625" style="3" customWidth="1"/>
    <col min="12044" max="12044" width="10.625" style="3" customWidth="1"/>
    <col min="12045" max="12045" width="10.125" style="3" customWidth="1"/>
    <col min="12046" max="12046" width="0" style="3" hidden="1" customWidth="1"/>
    <col min="12047" max="12047" width="11.625" style="3" customWidth="1"/>
    <col min="12048" max="12048" width="4.125" style="3" customWidth="1"/>
    <col min="12049" max="12049" width="6" style="3" bestFit="1" customWidth="1"/>
    <col min="12050" max="12288" width="9" style="3"/>
    <col min="12289" max="12289" width="3.125" style="3" customWidth="1"/>
    <col min="12290" max="12291" width="11.625" style="3" customWidth="1"/>
    <col min="12292" max="12292" width="12.625" style="3" customWidth="1"/>
    <col min="12293" max="12294" width="5.625" style="3" customWidth="1"/>
    <col min="12295" max="12295" width="10.625" style="3" customWidth="1"/>
    <col min="12296" max="12297" width="5.625" style="3" customWidth="1"/>
    <col min="12298" max="12298" width="10.625" style="3" customWidth="1"/>
    <col min="12299" max="12299" width="6.625" style="3" customWidth="1"/>
    <col min="12300" max="12300" width="10.625" style="3" customWidth="1"/>
    <col min="12301" max="12301" width="10.125" style="3" customWidth="1"/>
    <col min="12302" max="12302" width="0" style="3" hidden="1" customWidth="1"/>
    <col min="12303" max="12303" width="11.625" style="3" customWidth="1"/>
    <col min="12304" max="12304" width="4.125" style="3" customWidth="1"/>
    <col min="12305" max="12305" width="6" style="3" bestFit="1" customWidth="1"/>
    <col min="12306" max="12544" width="9" style="3"/>
    <col min="12545" max="12545" width="3.125" style="3" customWidth="1"/>
    <col min="12546" max="12547" width="11.625" style="3" customWidth="1"/>
    <col min="12548" max="12548" width="12.625" style="3" customWidth="1"/>
    <col min="12549" max="12550" width="5.625" style="3" customWidth="1"/>
    <col min="12551" max="12551" width="10.625" style="3" customWidth="1"/>
    <col min="12552" max="12553" width="5.625" style="3" customWidth="1"/>
    <col min="12554" max="12554" width="10.625" style="3" customWidth="1"/>
    <col min="12555" max="12555" width="6.625" style="3" customWidth="1"/>
    <col min="12556" max="12556" width="10.625" style="3" customWidth="1"/>
    <col min="12557" max="12557" width="10.125" style="3" customWidth="1"/>
    <col min="12558" max="12558" width="0" style="3" hidden="1" customWidth="1"/>
    <col min="12559" max="12559" width="11.625" style="3" customWidth="1"/>
    <col min="12560" max="12560" width="4.125" style="3" customWidth="1"/>
    <col min="12561" max="12561" width="6" style="3" bestFit="1" customWidth="1"/>
    <col min="12562" max="12800" width="9" style="3"/>
    <col min="12801" max="12801" width="3.125" style="3" customWidth="1"/>
    <col min="12802" max="12803" width="11.625" style="3" customWidth="1"/>
    <col min="12804" max="12804" width="12.625" style="3" customWidth="1"/>
    <col min="12805" max="12806" width="5.625" style="3" customWidth="1"/>
    <col min="12807" max="12807" width="10.625" style="3" customWidth="1"/>
    <col min="12808" max="12809" width="5.625" style="3" customWidth="1"/>
    <col min="12810" max="12810" width="10.625" style="3" customWidth="1"/>
    <col min="12811" max="12811" width="6.625" style="3" customWidth="1"/>
    <col min="12812" max="12812" width="10.625" style="3" customWidth="1"/>
    <col min="12813" max="12813" width="10.125" style="3" customWidth="1"/>
    <col min="12814" max="12814" width="0" style="3" hidden="1" customWidth="1"/>
    <col min="12815" max="12815" width="11.625" style="3" customWidth="1"/>
    <col min="12816" max="12816" width="4.125" style="3" customWidth="1"/>
    <col min="12817" max="12817" width="6" style="3" bestFit="1" customWidth="1"/>
    <col min="12818" max="13056" width="9" style="3"/>
    <col min="13057" max="13057" width="3.125" style="3" customWidth="1"/>
    <col min="13058" max="13059" width="11.625" style="3" customWidth="1"/>
    <col min="13060" max="13060" width="12.625" style="3" customWidth="1"/>
    <col min="13061" max="13062" width="5.625" style="3" customWidth="1"/>
    <col min="13063" max="13063" width="10.625" style="3" customWidth="1"/>
    <col min="13064" max="13065" width="5.625" style="3" customWidth="1"/>
    <col min="13066" max="13066" width="10.625" style="3" customWidth="1"/>
    <col min="13067" max="13067" width="6.625" style="3" customWidth="1"/>
    <col min="13068" max="13068" width="10.625" style="3" customWidth="1"/>
    <col min="13069" max="13069" width="10.125" style="3" customWidth="1"/>
    <col min="13070" max="13070" width="0" style="3" hidden="1" customWidth="1"/>
    <col min="13071" max="13071" width="11.625" style="3" customWidth="1"/>
    <col min="13072" max="13072" width="4.125" style="3" customWidth="1"/>
    <col min="13073" max="13073" width="6" style="3" bestFit="1" customWidth="1"/>
    <col min="13074" max="13312" width="9" style="3"/>
    <col min="13313" max="13313" width="3.125" style="3" customWidth="1"/>
    <col min="13314" max="13315" width="11.625" style="3" customWidth="1"/>
    <col min="13316" max="13316" width="12.625" style="3" customWidth="1"/>
    <col min="13317" max="13318" width="5.625" style="3" customWidth="1"/>
    <col min="13319" max="13319" width="10.625" style="3" customWidth="1"/>
    <col min="13320" max="13321" width="5.625" style="3" customWidth="1"/>
    <col min="13322" max="13322" width="10.625" style="3" customWidth="1"/>
    <col min="13323" max="13323" width="6.625" style="3" customWidth="1"/>
    <col min="13324" max="13324" width="10.625" style="3" customWidth="1"/>
    <col min="13325" max="13325" width="10.125" style="3" customWidth="1"/>
    <col min="13326" max="13326" width="0" style="3" hidden="1" customWidth="1"/>
    <col min="13327" max="13327" width="11.625" style="3" customWidth="1"/>
    <col min="13328" max="13328" width="4.125" style="3" customWidth="1"/>
    <col min="13329" max="13329" width="6" style="3" bestFit="1" customWidth="1"/>
    <col min="13330" max="13568" width="9" style="3"/>
    <col min="13569" max="13569" width="3.125" style="3" customWidth="1"/>
    <col min="13570" max="13571" width="11.625" style="3" customWidth="1"/>
    <col min="13572" max="13572" width="12.625" style="3" customWidth="1"/>
    <col min="13573" max="13574" width="5.625" style="3" customWidth="1"/>
    <col min="13575" max="13575" width="10.625" style="3" customWidth="1"/>
    <col min="13576" max="13577" width="5.625" style="3" customWidth="1"/>
    <col min="13578" max="13578" width="10.625" style="3" customWidth="1"/>
    <col min="13579" max="13579" width="6.625" style="3" customWidth="1"/>
    <col min="13580" max="13580" width="10.625" style="3" customWidth="1"/>
    <col min="13581" max="13581" width="10.125" style="3" customWidth="1"/>
    <col min="13582" max="13582" width="0" style="3" hidden="1" customWidth="1"/>
    <col min="13583" max="13583" width="11.625" style="3" customWidth="1"/>
    <col min="13584" max="13584" width="4.125" style="3" customWidth="1"/>
    <col min="13585" max="13585" width="6" style="3" bestFit="1" customWidth="1"/>
    <col min="13586" max="13824" width="9" style="3"/>
    <col min="13825" max="13825" width="3.125" style="3" customWidth="1"/>
    <col min="13826" max="13827" width="11.625" style="3" customWidth="1"/>
    <col min="13828" max="13828" width="12.625" style="3" customWidth="1"/>
    <col min="13829" max="13830" width="5.625" style="3" customWidth="1"/>
    <col min="13831" max="13831" width="10.625" style="3" customWidth="1"/>
    <col min="13832" max="13833" width="5.625" style="3" customWidth="1"/>
    <col min="13834" max="13834" width="10.625" style="3" customWidth="1"/>
    <col min="13835" max="13835" width="6.625" style="3" customWidth="1"/>
    <col min="13836" max="13836" width="10.625" style="3" customWidth="1"/>
    <col min="13837" max="13837" width="10.125" style="3" customWidth="1"/>
    <col min="13838" max="13838" width="0" style="3" hidden="1" customWidth="1"/>
    <col min="13839" max="13839" width="11.625" style="3" customWidth="1"/>
    <col min="13840" max="13840" width="4.125" style="3" customWidth="1"/>
    <col min="13841" max="13841" width="6" style="3" bestFit="1" customWidth="1"/>
    <col min="13842" max="14080" width="9" style="3"/>
    <col min="14081" max="14081" width="3.125" style="3" customWidth="1"/>
    <col min="14082" max="14083" width="11.625" style="3" customWidth="1"/>
    <col min="14084" max="14084" width="12.625" style="3" customWidth="1"/>
    <col min="14085" max="14086" width="5.625" style="3" customWidth="1"/>
    <col min="14087" max="14087" width="10.625" style="3" customWidth="1"/>
    <col min="14088" max="14089" width="5.625" style="3" customWidth="1"/>
    <col min="14090" max="14090" width="10.625" style="3" customWidth="1"/>
    <col min="14091" max="14091" width="6.625" style="3" customWidth="1"/>
    <col min="14092" max="14092" width="10.625" style="3" customWidth="1"/>
    <col min="14093" max="14093" width="10.125" style="3" customWidth="1"/>
    <col min="14094" max="14094" width="0" style="3" hidden="1" customWidth="1"/>
    <col min="14095" max="14095" width="11.625" style="3" customWidth="1"/>
    <col min="14096" max="14096" width="4.125" style="3" customWidth="1"/>
    <col min="14097" max="14097" width="6" style="3" bestFit="1" customWidth="1"/>
    <col min="14098" max="14336" width="9" style="3"/>
    <col min="14337" max="14337" width="3.125" style="3" customWidth="1"/>
    <col min="14338" max="14339" width="11.625" style="3" customWidth="1"/>
    <col min="14340" max="14340" width="12.625" style="3" customWidth="1"/>
    <col min="14341" max="14342" width="5.625" style="3" customWidth="1"/>
    <col min="14343" max="14343" width="10.625" style="3" customWidth="1"/>
    <col min="14344" max="14345" width="5.625" style="3" customWidth="1"/>
    <col min="14346" max="14346" width="10.625" style="3" customWidth="1"/>
    <col min="14347" max="14347" width="6.625" style="3" customWidth="1"/>
    <col min="14348" max="14348" width="10.625" style="3" customWidth="1"/>
    <col min="14349" max="14349" width="10.125" style="3" customWidth="1"/>
    <col min="14350" max="14350" width="0" style="3" hidden="1" customWidth="1"/>
    <col min="14351" max="14351" width="11.625" style="3" customWidth="1"/>
    <col min="14352" max="14352" width="4.125" style="3" customWidth="1"/>
    <col min="14353" max="14353" width="6" style="3" bestFit="1" customWidth="1"/>
    <col min="14354" max="14592" width="9" style="3"/>
    <col min="14593" max="14593" width="3.125" style="3" customWidth="1"/>
    <col min="14594" max="14595" width="11.625" style="3" customWidth="1"/>
    <col min="14596" max="14596" width="12.625" style="3" customWidth="1"/>
    <col min="14597" max="14598" width="5.625" style="3" customWidth="1"/>
    <col min="14599" max="14599" width="10.625" style="3" customWidth="1"/>
    <col min="14600" max="14601" width="5.625" style="3" customWidth="1"/>
    <col min="14602" max="14602" width="10.625" style="3" customWidth="1"/>
    <col min="14603" max="14603" width="6.625" style="3" customWidth="1"/>
    <col min="14604" max="14604" width="10.625" style="3" customWidth="1"/>
    <col min="14605" max="14605" width="10.125" style="3" customWidth="1"/>
    <col min="14606" max="14606" width="0" style="3" hidden="1" customWidth="1"/>
    <col min="14607" max="14607" width="11.625" style="3" customWidth="1"/>
    <col min="14608" max="14608" width="4.125" style="3" customWidth="1"/>
    <col min="14609" max="14609" width="6" style="3" bestFit="1" customWidth="1"/>
    <col min="14610" max="14848" width="9" style="3"/>
    <col min="14849" max="14849" width="3.125" style="3" customWidth="1"/>
    <col min="14850" max="14851" width="11.625" style="3" customWidth="1"/>
    <col min="14852" max="14852" width="12.625" style="3" customWidth="1"/>
    <col min="14853" max="14854" width="5.625" style="3" customWidth="1"/>
    <col min="14855" max="14855" width="10.625" style="3" customWidth="1"/>
    <col min="14856" max="14857" width="5.625" style="3" customWidth="1"/>
    <col min="14858" max="14858" width="10.625" style="3" customWidth="1"/>
    <col min="14859" max="14859" width="6.625" style="3" customWidth="1"/>
    <col min="14860" max="14860" width="10.625" style="3" customWidth="1"/>
    <col min="14861" max="14861" width="10.125" style="3" customWidth="1"/>
    <col min="14862" max="14862" width="0" style="3" hidden="1" customWidth="1"/>
    <col min="14863" max="14863" width="11.625" style="3" customWidth="1"/>
    <col min="14864" max="14864" width="4.125" style="3" customWidth="1"/>
    <col min="14865" max="14865" width="6" style="3" bestFit="1" customWidth="1"/>
    <col min="14866" max="15104" width="9" style="3"/>
    <col min="15105" max="15105" width="3.125" style="3" customWidth="1"/>
    <col min="15106" max="15107" width="11.625" style="3" customWidth="1"/>
    <col min="15108" max="15108" width="12.625" style="3" customWidth="1"/>
    <col min="15109" max="15110" width="5.625" style="3" customWidth="1"/>
    <col min="15111" max="15111" width="10.625" style="3" customWidth="1"/>
    <col min="15112" max="15113" width="5.625" style="3" customWidth="1"/>
    <col min="15114" max="15114" width="10.625" style="3" customWidth="1"/>
    <col min="15115" max="15115" width="6.625" style="3" customWidth="1"/>
    <col min="15116" max="15116" width="10.625" style="3" customWidth="1"/>
    <col min="15117" max="15117" width="10.125" style="3" customWidth="1"/>
    <col min="15118" max="15118" width="0" style="3" hidden="1" customWidth="1"/>
    <col min="15119" max="15119" width="11.625" style="3" customWidth="1"/>
    <col min="15120" max="15120" width="4.125" style="3" customWidth="1"/>
    <col min="15121" max="15121" width="6" style="3" bestFit="1" customWidth="1"/>
    <col min="15122" max="15360" width="9" style="3"/>
    <col min="15361" max="15361" width="3.125" style="3" customWidth="1"/>
    <col min="15362" max="15363" width="11.625" style="3" customWidth="1"/>
    <col min="15364" max="15364" width="12.625" style="3" customWidth="1"/>
    <col min="15365" max="15366" width="5.625" style="3" customWidth="1"/>
    <col min="15367" max="15367" width="10.625" style="3" customWidth="1"/>
    <col min="15368" max="15369" width="5.625" style="3" customWidth="1"/>
    <col min="15370" max="15370" width="10.625" style="3" customWidth="1"/>
    <col min="15371" max="15371" width="6.625" style="3" customWidth="1"/>
    <col min="15372" max="15372" width="10.625" style="3" customWidth="1"/>
    <col min="15373" max="15373" width="10.125" style="3" customWidth="1"/>
    <col min="15374" max="15374" width="0" style="3" hidden="1" customWidth="1"/>
    <col min="15375" max="15375" width="11.625" style="3" customWidth="1"/>
    <col min="15376" max="15376" width="4.125" style="3" customWidth="1"/>
    <col min="15377" max="15377" width="6" style="3" bestFit="1" customWidth="1"/>
    <col min="15378" max="15616" width="9" style="3"/>
    <col min="15617" max="15617" width="3.125" style="3" customWidth="1"/>
    <col min="15618" max="15619" width="11.625" style="3" customWidth="1"/>
    <col min="15620" max="15620" width="12.625" style="3" customWidth="1"/>
    <col min="15621" max="15622" width="5.625" style="3" customWidth="1"/>
    <col min="15623" max="15623" width="10.625" style="3" customWidth="1"/>
    <col min="15624" max="15625" width="5.625" style="3" customWidth="1"/>
    <col min="15626" max="15626" width="10.625" style="3" customWidth="1"/>
    <col min="15627" max="15627" width="6.625" style="3" customWidth="1"/>
    <col min="15628" max="15628" width="10.625" style="3" customWidth="1"/>
    <col min="15629" max="15629" width="10.125" style="3" customWidth="1"/>
    <col min="15630" max="15630" width="0" style="3" hidden="1" customWidth="1"/>
    <col min="15631" max="15631" width="11.625" style="3" customWidth="1"/>
    <col min="15632" max="15632" width="4.125" style="3" customWidth="1"/>
    <col min="15633" max="15633" width="6" style="3" bestFit="1" customWidth="1"/>
    <col min="15634" max="15872" width="9" style="3"/>
    <col min="15873" max="15873" width="3.125" style="3" customWidth="1"/>
    <col min="15874" max="15875" width="11.625" style="3" customWidth="1"/>
    <col min="15876" max="15876" width="12.625" style="3" customWidth="1"/>
    <col min="15877" max="15878" width="5.625" style="3" customWidth="1"/>
    <col min="15879" max="15879" width="10.625" style="3" customWidth="1"/>
    <col min="15880" max="15881" width="5.625" style="3" customWidth="1"/>
    <col min="15882" max="15882" width="10.625" style="3" customWidth="1"/>
    <col min="15883" max="15883" width="6.625" style="3" customWidth="1"/>
    <col min="15884" max="15884" width="10.625" style="3" customWidth="1"/>
    <col min="15885" max="15885" width="10.125" style="3" customWidth="1"/>
    <col min="15886" max="15886" width="0" style="3" hidden="1" customWidth="1"/>
    <col min="15887" max="15887" width="11.625" style="3" customWidth="1"/>
    <col min="15888" max="15888" width="4.125" style="3" customWidth="1"/>
    <col min="15889" max="15889" width="6" style="3" bestFit="1" customWidth="1"/>
    <col min="15890" max="16128" width="9" style="3"/>
    <col min="16129" max="16129" width="3.125" style="3" customWidth="1"/>
    <col min="16130" max="16131" width="11.625" style="3" customWidth="1"/>
    <col min="16132" max="16132" width="12.625" style="3" customWidth="1"/>
    <col min="16133" max="16134" width="5.625" style="3" customWidth="1"/>
    <col min="16135" max="16135" width="10.625" style="3" customWidth="1"/>
    <col min="16136" max="16137" width="5.625" style="3" customWidth="1"/>
    <col min="16138" max="16138" width="10.625" style="3" customWidth="1"/>
    <col min="16139" max="16139" width="6.625" style="3" customWidth="1"/>
    <col min="16140" max="16140" width="10.625" style="3" customWidth="1"/>
    <col min="16141" max="16141" width="10.125" style="3" customWidth="1"/>
    <col min="16142" max="16142" width="0" style="3" hidden="1" customWidth="1"/>
    <col min="16143" max="16143" width="11.625" style="3" customWidth="1"/>
    <col min="16144" max="16144" width="4.125" style="3" customWidth="1"/>
    <col min="16145" max="16145" width="6" style="3" bestFit="1" customWidth="1"/>
    <col min="16146" max="16384" width="9" style="3"/>
  </cols>
  <sheetData>
    <row r="1" spans="1:17" ht="13.5" customHeight="1" x14ac:dyDescent="0.15">
      <c r="A1" s="481" t="s">
        <v>183</v>
      </c>
      <c r="B1" s="481"/>
      <c r="C1" s="481"/>
      <c r="D1" s="481"/>
      <c r="E1" s="481"/>
      <c r="F1" s="481"/>
      <c r="G1" s="481"/>
      <c r="H1" s="481"/>
      <c r="I1" s="481"/>
      <c r="J1" s="481"/>
      <c r="K1" s="481"/>
      <c r="L1" s="481"/>
      <c r="M1" s="481"/>
      <c r="N1" s="481"/>
      <c r="O1" s="481"/>
      <c r="P1" s="481"/>
      <c r="Q1" s="129"/>
    </row>
    <row r="2" spans="1:17" ht="13.5" customHeight="1" x14ac:dyDescent="0.15">
      <c r="B2" s="130"/>
      <c r="C2" s="130"/>
      <c r="E2" s="130"/>
      <c r="F2" s="130"/>
      <c r="G2" s="130"/>
      <c r="H2" s="130"/>
      <c r="M2" s="273"/>
      <c r="N2" s="273"/>
      <c r="O2" s="273"/>
      <c r="P2" s="273"/>
      <c r="Q2" s="273"/>
    </row>
    <row r="3" spans="1:17" ht="13.5" customHeight="1" x14ac:dyDescent="0.15">
      <c r="B3" s="506"/>
      <c r="C3" s="506"/>
      <c r="D3" s="506"/>
      <c r="E3" s="506"/>
      <c r="F3" s="506"/>
      <c r="G3" s="130"/>
      <c r="H3" s="130"/>
      <c r="L3" s="273"/>
      <c r="M3" s="273"/>
      <c r="N3" s="273"/>
      <c r="O3" s="273"/>
      <c r="P3" s="273"/>
      <c r="Q3" s="273"/>
    </row>
    <row r="4" spans="1:17" ht="13.5" customHeight="1" x14ac:dyDescent="0.15">
      <c r="B4" s="506"/>
      <c r="C4" s="506"/>
      <c r="D4" s="506"/>
      <c r="E4" s="506"/>
      <c r="F4" s="506"/>
      <c r="G4" s="130"/>
      <c r="H4" s="130"/>
      <c r="N4" s="315"/>
      <c r="O4" s="315"/>
      <c r="P4" s="315"/>
      <c r="Q4" s="315"/>
    </row>
    <row r="5" spans="1:17" ht="13.5" customHeight="1" x14ac:dyDescent="0.15">
      <c r="C5" s="130"/>
      <c r="D5" s="130"/>
      <c r="E5" s="130"/>
      <c r="F5" s="130"/>
      <c r="G5" s="130"/>
      <c r="H5" s="130"/>
      <c r="M5" s="273"/>
      <c r="N5" s="273"/>
      <c r="O5" s="273"/>
      <c r="P5" s="273"/>
      <c r="Q5" s="273"/>
    </row>
    <row r="6" spans="1:17" ht="13.5" customHeight="1" x14ac:dyDescent="0.15">
      <c r="M6" s="273"/>
      <c r="N6" s="273"/>
      <c r="O6" s="273"/>
      <c r="P6" s="273"/>
      <c r="Q6" s="273"/>
    </row>
    <row r="7" spans="1:17" ht="18.75" customHeight="1" x14ac:dyDescent="0.15">
      <c r="B7" s="370"/>
      <c r="C7" s="370"/>
      <c r="D7" s="370"/>
      <c r="E7" s="132" t="s">
        <v>72</v>
      </c>
      <c r="F7" s="7"/>
      <c r="G7" s="7"/>
    </row>
    <row r="8" spans="1:17" x14ac:dyDescent="0.15">
      <c r="C8" s="9"/>
      <c r="D8" s="9"/>
      <c r="F8" s="9"/>
      <c r="G8" s="9"/>
      <c r="H8" s="9"/>
    </row>
    <row r="9" spans="1:17" ht="18" customHeight="1" x14ac:dyDescent="0.15">
      <c r="C9" s="133"/>
      <c r="D9" s="133"/>
      <c r="E9" s="133"/>
      <c r="F9" s="133"/>
      <c r="G9" s="133"/>
      <c r="H9" s="133"/>
      <c r="I9" s="133"/>
      <c r="J9" s="133" t="s">
        <v>204</v>
      </c>
      <c r="K9" s="133"/>
      <c r="L9" s="133"/>
      <c r="M9" s="133"/>
      <c r="N9" s="133"/>
      <c r="O9" s="133"/>
    </row>
    <row r="10" spans="1:17" ht="13.35" customHeight="1" x14ac:dyDescent="0.15">
      <c r="C10" s="133"/>
      <c r="D10" s="133"/>
      <c r="E10" s="133"/>
      <c r="F10" s="133"/>
      <c r="G10" s="133"/>
      <c r="H10" s="133"/>
      <c r="I10" s="133"/>
      <c r="J10" s="133"/>
      <c r="K10" s="133"/>
      <c r="L10" s="133"/>
      <c r="M10" s="133"/>
      <c r="N10" s="133"/>
      <c r="O10" s="133"/>
    </row>
    <row r="11" spans="1:17" ht="13.35" customHeight="1" x14ac:dyDescent="0.15">
      <c r="C11" s="133"/>
      <c r="D11" s="133"/>
      <c r="E11" s="133"/>
      <c r="F11" s="133"/>
      <c r="G11" s="133"/>
      <c r="H11" s="133"/>
      <c r="I11" s="133"/>
      <c r="J11" s="133"/>
      <c r="K11" s="133"/>
      <c r="L11" s="133"/>
      <c r="M11" s="133"/>
      <c r="N11" s="133"/>
      <c r="O11" s="133"/>
    </row>
    <row r="12" spans="1:17" ht="13.35" customHeight="1" x14ac:dyDescent="0.15">
      <c r="C12" s="133"/>
      <c r="D12" s="133"/>
      <c r="E12" s="133"/>
      <c r="F12" s="133"/>
      <c r="G12" s="133"/>
      <c r="H12" s="133"/>
      <c r="I12" s="133"/>
      <c r="J12" s="133"/>
      <c r="K12" s="133"/>
      <c r="L12" s="133"/>
      <c r="M12" s="134" t="s">
        <v>74</v>
      </c>
      <c r="N12" s="134"/>
      <c r="O12" s="482"/>
      <c r="P12" s="482"/>
      <c r="Q12" s="134"/>
    </row>
    <row r="13" spans="1:17" ht="13.35" customHeight="1" x14ac:dyDescent="0.15">
      <c r="B13" s="214" t="s">
        <v>76</v>
      </c>
      <c r="C13" s="214"/>
      <c r="D13" s="214"/>
      <c r="E13" s="214"/>
      <c r="F13" s="214"/>
      <c r="G13" s="214"/>
      <c r="H13" s="214"/>
      <c r="I13" s="214"/>
      <c r="J13" s="214"/>
      <c r="K13" s="214"/>
      <c r="L13" s="214"/>
      <c r="M13" s="140"/>
      <c r="N13" s="135"/>
      <c r="O13" s="483"/>
      <c r="P13" s="483"/>
      <c r="Q13" s="135" t="s">
        <v>75</v>
      </c>
    </row>
    <row r="14" spans="1:17" ht="11.25" customHeight="1" x14ac:dyDescent="0.15">
      <c r="B14" s="214" t="s">
        <v>185</v>
      </c>
      <c r="C14" s="214"/>
      <c r="D14" s="214"/>
      <c r="E14" s="214"/>
      <c r="F14" s="214"/>
      <c r="G14" s="214"/>
      <c r="H14" s="214"/>
      <c r="I14" s="214"/>
      <c r="J14" s="214"/>
      <c r="K14" s="214"/>
      <c r="L14" s="214"/>
      <c r="M14" s="214"/>
      <c r="N14" s="214"/>
      <c r="O14" s="214"/>
      <c r="P14" s="316"/>
      <c r="Q14" s="316"/>
    </row>
    <row r="15" spans="1:17" ht="11.25" customHeight="1" x14ac:dyDescent="0.15">
      <c r="B15" s="214" t="s">
        <v>186</v>
      </c>
      <c r="C15" s="214"/>
      <c r="D15" s="214"/>
      <c r="E15" s="214"/>
      <c r="F15" s="214"/>
      <c r="G15" s="214"/>
      <c r="H15" s="214"/>
      <c r="I15" s="214"/>
      <c r="J15" s="214"/>
      <c r="K15" s="214"/>
      <c r="L15" s="214"/>
    </row>
    <row r="16" spans="1:17" ht="11.25" customHeight="1" x14ac:dyDescent="0.15">
      <c r="B16" s="214" t="s">
        <v>187</v>
      </c>
      <c r="C16" s="214"/>
      <c r="D16" s="214"/>
      <c r="E16" s="214"/>
      <c r="F16" s="214"/>
      <c r="G16" s="214"/>
      <c r="H16" s="214"/>
      <c r="I16" s="214"/>
      <c r="J16" s="214"/>
      <c r="K16" s="214"/>
      <c r="L16" s="214"/>
    </row>
    <row r="17" spans="1:17" ht="8.1" customHeight="1" x14ac:dyDescent="0.15">
      <c r="B17" s="190"/>
      <c r="C17" s="190"/>
      <c r="D17" s="190"/>
      <c r="E17" s="190"/>
      <c r="F17" s="190"/>
      <c r="G17" s="190"/>
      <c r="H17" s="190"/>
      <c r="I17" s="190"/>
      <c r="J17" s="190"/>
      <c r="K17" s="190"/>
      <c r="L17" s="190"/>
      <c r="M17" s="190"/>
      <c r="N17" s="190"/>
      <c r="O17" s="190"/>
      <c r="P17" s="190"/>
      <c r="Q17" s="190"/>
    </row>
    <row r="18" spans="1:17" ht="5.0999999999999996" customHeight="1" x14ac:dyDescent="0.15">
      <c r="P18" s="317"/>
      <c r="Q18" s="317"/>
    </row>
    <row r="19" spans="1:17" ht="8.1" customHeight="1" x14ac:dyDescent="0.15">
      <c r="B19" s="138"/>
      <c r="C19" s="138"/>
      <c r="D19" s="138"/>
      <c r="E19" s="138"/>
      <c r="F19" s="138"/>
      <c r="G19" s="138"/>
      <c r="H19" s="138"/>
      <c r="I19" s="138"/>
      <c r="J19" s="138"/>
      <c r="K19" s="138"/>
      <c r="L19" s="138"/>
      <c r="M19" s="138"/>
      <c r="N19" s="138"/>
      <c r="O19" s="138"/>
      <c r="P19" s="138"/>
      <c r="Q19" s="138"/>
    </row>
    <row r="20" spans="1:17" s="143" customFormat="1" ht="12" customHeight="1" x14ac:dyDescent="0.15">
      <c r="B20" s="484" t="s">
        <v>188</v>
      </c>
      <c r="C20" s="484"/>
      <c r="D20" s="484"/>
      <c r="G20" s="484"/>
      <c r="H20" s="484"/>
      <c r="I20" s="144"/>
      <c r="J20" s="144"/>
      <c r="K20" s="144"/>
      <c r="L20" s="144"/>
    </row>
    <row r="21" spans="1:17" s="140" customFormat="1" ht="12" customHeight="1" x14ac:dyDescent="0.15">
      <c r="B21" s="736">
        <f>SUM(L27)</f>
        <v>0</v>
      </c>
      <c r="C21" s="737"/>
      <c r="D21" s="737"/>
      <c r="E21" s="740" t="s">
        <v>190</v>
      </c>
      <c r="F21" s="134"/>
      <c r="G21" s="761"/>
      <c r="H21" s="761"/>
      <c r="I21" s="761"/>
      <c r="J21" s="761"/>
      <c r="K21" s="761"/>
      <c r="L21" s="762"/>
      <c r="M21" s="134"/>
      <c r="N21" s="134"/>
    </row>
    <row r="22" spans="1:17" s="140" customFormat="1" ht="12" customHeight="1" x14ac:dyDescent="0.15">
      <c r="B22" s="738"/>
      <c r="C22" s="739"/>
      <c r="D22" s="739"/>
      <c r="E22" s="741"/>
      <c r="F22" s="134"/>
      <c r="G22" s="761"/>
      <c r="H22" s="761"/>
      <c r="I22" s="761"/>
      <c r="J22" s="761"/>
      <c r="K22" s="761"/>
      <c r="L22" s="762"/>
      <c r="M22" s="134"/>
      <c r="N22" s="134"/>
    </row>
    <row r="23" spans="1:17" s="140" customFormat="1" ht="8.1" customHeight="1" x14ac:dyDescent="0.15">
      <c r="F23" s="134"/>
      <c r="G23" s="134"/>
      <c r="H23" s="141"/>
      <c r="I23" s="141"/>
      <c r="J23" s="141"/>
      <c r="K23" s="141"/>
      <c r="L23" s="141"/>
      <c r="M23" s="134"/>
      <c r="N23" s="134"/>
    </row>
    <row r="24" spans="1:17" s="140" customFormat="1" ht="13.5" customHeight="1" x14ac:dyDescent="0.15">
      <c r="A24" s="143"/>
      <c r="B24" s="484" t="s">
        <v>80</v>
      </c>
      <c r="C24" s="484"/>
      <c r="D24" s="484"/>
      <c r="E24" s="485"/>
      <c r="F24" s="485"/>
      <c r="G24" s="144"/>
      <c r="H24" s="144"/>
      <c r="I24" s="144"/>
      <c r="J24" s="144"/>
      <c r="K24" s="144"/>
      <c r="L24" s="143"/>
      <c r="M24" s="143"/>
      <c r="N24" s="143"/>
      <c r="O24" s="136"/>
      <c r="P24" s="136"/>
      <c r="Q24" s="198"/>
    </row>
    <row r="25" spans="1:17" s="140" customFormat="1" ht="13.5" customHeight="1" x14ac:dyDescent="0.15">
      <c r="A25" s="143"/>
      <c r="B25" s="472" t="s">
        <v>192</v>
      </c>
      <c r="C25" s="472"/>
      <c r="D25" s="472"/>
      <c r="E25" s="477" t="s">
        <v>82</v>
      </c>
      <c r="F25" s="478"/>
      <c r="G25" s="735"/>
      <c r="H25" s="476" t="s">
        <v>109</v>
      </c>
      <c r="I25" s="473"/>
      <c r="J25" s="472" t="s">
        <v>205</v>
      </c>
      <c r="K25" s="472"/>
      <c r="L25" s="476" t="s">
        <v>194</v>
      </c>
      <c r="M25" s="735"/>
      <c r="N25" s="473"/>
      <c r="O25" s="148"/>
      <c r="P25" s="143"/>
    </row>
    <row r="26" spans="1:17" s="140" customFormat="1" ht="13.5" customHeight="1" x14ac:dyDescent="0.15">
      <c r="A26" s="143"/>
      <c r="B26" s="145" t="s">
        <v>111</v>
      </c>
      <c r="C26" s="145" t="s">
        <v>112</v>
      </c>
      <c r="D26" s="145" t="s">
        <v>87</v>
      </c>
      <c r="E26" s="472" t="s">
        <v>59</v>
      </c>
      <c r="F26" s="472"/>
      <c r="G26" s="485"/>
      <c r="H26" s="474"/>
      <c r="I26" s="475"/>
      <c r="J26" s="472"/>
      <c r="K26" s="472"/>
      <c r="L26" s="474" t="s">
        <v>206</v>
      </c>
      <c r="M26" s="471"/>
      <c r="N26" s="475"/>
      <c r="O26" s="148"/>
      <c r="P26" s="143"/>
    </row>
    <row r="27" spans="1:17" s="191" customFormat="1" ht="13.5" customHeight="1" x14ac:dyDescent="0.15">
      <c r="A27" s="184"/>
      <c r="B27" s="150"/>
      <c r="C27" s="150"/>
      <c r="D27" s="150">
        <f>SUM(B27+C27)</f>
        <v>0</v>
      </c>
      <c r="E27" s="467"/>
      <c r="F27" s="467"/>
      <c r="G27" s="471"/>
      <c r="H27" s="467">
        <f>SUM(G27+E27)</f>
        <v>0</v>
      </c>
      <c r="I27" s="467"/>
      <c r="J27" s="467"/>
      <c r="K27" s="467"/>
      <c r="L27" s="468">
        <f>SUM(E27+H27-D27+J27)</f>
        <v>0</v>
      </c>
      <c r="M27" s="734"/>
      <c r="N27" s="469"/>
      <c r="O27" s="318"/>
      <c r="P27" s="184"/>
    </row>
    <row r="28" spans="1:17" ht="8.1" customHeight="1" x14ac:dyDescent="0.15">
      <c r="A28" s="136"/>
      <c r="B28" s="136"/>
      <c r="C28" s="136"/>
      <c r="D28" s="136"/>
      <c r="E28" s="136"/>
      <c r="F28" s="136"/>
      <c r="G28" s="136"/>
      <c r="H28" s="136"/>
      <c r="I28" s="136"/>
      <c r="J28" s="136"/>
      <c r="K28" s="136"/>
      <c r="L28" s="136"/>
      <c r="M28" s="136"/>
      <c r="N28" s="136"/>
      <c r="O28" s="136"/>
      <c r="P28" s="136"/>
      <c r="Q28" s="200"/>
    </row>
    <row r="29" spans="1:17" x14ac:dyDescent="0.15">
      <c r="A29" s="136"/>
      <c r="B29" s="470" t="s">
        <v>90</v>
      </c>
      <c r="C29" s="470"/>
      <c r="D29" s="470"/>
      <c r="E29" s="471"/>
      <c r="F29" s="471"/>
      <c r="G29" s="471"/>
      <c r="H29" s="471"/>
      <c r="I29" s="471"/>
      <c r="J29" s="143"/>
      <c r="K29" s="143"/>
      <c r="L29" s="136"/>
      <c r="M29" s="136"/>
      <c r="N29" s="136"/>
      <c r="O29" s="136"/>
      <c r="P29" s="136"/>
      <c r="Q29" s="200"/>
    </row>
    <row r="30" spans="1:17" ht="13.5" customHeight="1" x14ac:dyDescent="0.15">
      <c r="A30" s="472" t="s">
        <v>91</v>
      </c>
      <c r="B30" s="453" t="s">
        <v>61</v>
      </c>
      <c r="C30" s="473"/>
      <c r="D30" s="476" t="s">
        <v>93</v>
      </c>
      <c r="E30" s="472" t="s">
        <v>94</v>
      </c>
      <c r="F30" s="472"/>
      <c r="G30" s="473" t="s">
        <v>196</v>
      </c>
      <c r="H30" s="453" t="s">
        <v>197</v>
      </c>
      <c r="I30" s="454"/>
      <c r="J30" s="463" t="s">
        <v>198</v>
      </c>
      <c r="K30" s="496" t="s">
        <v>207</v>
      </c>
      <c r="L30" s="496" t="s">
        <v>208</v>
      </c>
      <c r="M30" s="463" t="s">
        <v>209</v>
      </c>
      <c r="N30" s="465" t="s">
        <v>101</v>
      </c>
      <c r="O30" s="453" t="s">
        <v>210</v>
      </c>
      <c r="P30" s="454"/>
    </row>
    <row r="31" spans="1:17" x14ac:dyDescent="0.15">
      <c r="A31" s="472"/>
      <c r="B31" s="474"/>
      <c r="C31" s="475"/>
      <c r="D31" s="474"/>
      <c r="E31" s="145" t="s">
        <v>19</v>
      </c>
      <c r="F31" s="145" t="s">
        <v>20</v>
      </c>
      <c r="G31" s="475"/>
      <c r="H31" s="455"/>
      <c r="I31" s="456"/>
      <c r="J31" s="480"/>
      <c r="K31" s="512"/>
      <c r="L31" s="497"/>
      <c r="M31" s="464"/>
      <c r="N31" s="465"/>
      <c r="O31" s="455"/>
      <c r="P31" s="456"/>
    </row>
    <row r="32" spans="1:17" ht="26.1" customHeight="1" x14ac:dyDescent="0.15">
      <c r="A32" s="157"/>
      <c r="B32" s="732"/>
      <c r="C32" s="733"/>
      <c r="D32" s="158"/>
      <c r="E32" s="325"/>
      <c r="F32" s="326"/>
      <c r="G32" s="327"/>
      <c r="H32" s="754"/>
      <c r="I32" s="755"/>
      <c r="J32" s="193"/>
      <c r="K32" s="328"/>
      <c r="L32" s="163"/>
      <c r="M32" s="329"/>
      <c r="N32" s="329"/>
      <c r="O32" s="461"/>
      <c r="P32" s="462"/>
    </row>
    <row r="33" spans="1:17" ht="26.1" customHeight="1" x14ac:dyDescent="0.15">
      <c r="A33" s="164"/>
      <c r="B33" s="730"/>
      <c r="C33" s="731"/>
      <c r="D33" s="165"/>
      <c r="E33" s="330"/>
      <c r="F33" s="330"/>
      <c r="G33" s="331"/>
      <c r="H33" s="750"/>
      <c r="I33" s="751"/>
      <c r="J33" s="195"/>
      <c r="K33" s="332"/>
      <c r="L33" s="170"/>
      <c r="M33" s="333"/>
      <c r="N33" s="333"/>
      <c r="O33" s="440"/>
      <c r="P33" s="441"/>
    </row>
    <row r="34" spans="1:17" ht="26.1" customHeight="1" x14ac:dyDescent="0.15">
      <c r="A34" s="164"/>
      <c r="B34" s="730"/>
      <c r="C34" s="731"/>
      <c r="D34" s="165"/>
      <c r="E34" s="330"/>
      <c r="F34" s="330"/>
      <c r="G34" s="331"/>
      <c r="H34" s="750"/>
      <c r="I34" s="751"/>
      <c r="J34" s="195"/>
      <c r="K34" s="332"/>
      <c r="L34" s="170"/>
      <c r="M34" s="333"/>
      <c r="N34" s="333"/>
      <c r="O34" s="440"/>
      <c r="P34" s="441"/>
    </row>
    <row r="35" spans="1:17" ht="26.1" customHeight="1" x14ac:dyDescent="0.15">
      <c r="A35" s="164"/>
      <c r="B35" s="730"/>
      <c r="C35" s="731"/>
      <c r="D35" s="165"/>
      <c r="E35" s="330"/>
      <c r="F35" s="330"/>
      <c r="G35" s="331"/>
      <c r="H35" s="750"/>
      <c r="I35" s="751"/>
      <c r="J35" s="195"/>
      <c r="K35" s="332"/>
      <c r="L35" s="170"/>
      <c r="M35" s="333"/>
      <c r="N35" s="333"/>
      <c r="O35" s="440"/>
      <c r="P35" s="441"/>
    </row>
    <row r="36" spans="1:17" ht="26.1" customHeight="1" x14ac:dyDescent="0.15">
      <c r="A36" s="164"/>
      <c r="B36" s="730"/>
      <c r="C36" s="731"/>
      <c r="D36" s="165"/>
      <c r="E36" s="330"/>
      <c r="F36" s="330"/>
      <c r="G36" s="331"/>
      <c r="H36" s="750"/>
      <c r="I36" s="751"/>
      <c r="J36" s="195"/>
      <c r="K36" s="332"/>
      <c r="L36" s="170"/>
      <c r="M36" s="333"/>
      <c r="N36" s="333"/>
      <c r="O36" s="440"/>
      <c r="P36" s="441"/>
    </row>
    <row r="37" spans="1:17" ht="26.1" customHeight="1" x14ac:dyDescent="0.15">
      <c r="A37" s="173"/>
      <c r="B37" s="730"/>
      <c r="C37" s="731"/>
      <c r="D37" s="174"/>
      <c r="E37" s="334"/>
      <c r="F37" s="335"/>
      <c r="G37" s="336"/>
      <c r="H37" s="752"/>
      <c r="I37" s="753"/>
      <c r="J37" s="197"/>
      <c r="K37" s="337"/>
      <c r="L37" s="179"/>
      <c r="M37" s="338"/>
      <c r="N37" s="338"/>
      <c r="O37" s="446"/>
      <c r="P37" s="447"/>
    </row>
    <row r="38" spans="1:17" x14ac:dyDescent="0.15">
      <c r="A38" s="448" t="s">
        <v>103</v>
      </c>
      <c r="B38" s="449"/>
      <c r="C38" s="449"/>
      <c r="D38" s="450"/>
      <c r="E38" s="339">
        <f>SUM(E32:E37)</f>
        <v>0</v>
      </c>
      <c r="F38" s="340">
        <f>SUM(F32:F37)</f>
        <v>0</v>
      </c>
      <c r="G38" s="341"/>
      <c r="H38" s="184"/>
      <c r="I38" s="184"/>
      <c r="J38" s="342"/>
      <c r="K38" s="184"/>
      <c r="L38" s="183">
        <f>SUM(L32:L37)</f>
        <v>0</v>
      </c>
      <c r="M38" s="343">
        <f>SUM(M32:M37)</f>
        <v>0</v>
      </c>
      <c r="N38" s="343">
        <f>SUM(N32:N37)</f>
        <v>0</v>
      </c>
      <c r="O38" s="446">
        <f>SUM(L38-M38-N38)</f>
        <v>0</v>
      </c>
      <c r="P38" s="447"/>
    </row>
    <row r="39" spans="1:17" ht="12" customHeight="1" x14ac:dyDescent="0.15">
      <c r="B39" s="200"/>
      <c r="C39" s="200"/>
      <c r="D39" s="200"/>
      <c r="E39" s="200"/>
      <c r="F39" s="200"/>
      <c r="G39" s="200"/>
      <c r="H39" s="435"/>
      <c r="I39" s="435"/>
      <c r="J39" s="435"/>
      <c r="K39" s="435"/>
      <c r="L39" s="435"/>
      <c r="M39" s="435"/>
      <c r="N39" s="435"/>
      <c r="O39" s="435"/>
      <c r="P39" s="435"/>
      <c r="Q39" s="200"/>
    </row>
    <row r="40" spans="1:17" ht="8.1" customHeight="1" x14ac:dyDescent="0.15">
      <c r="B40" s="200"/>
      <c r="C40" s="200"/>
      <c r="D40" s="200"/>
      <c r="E40" s="200"/>
      <c r="F40" s="200"/>
      <c r="G40" s="200"/>
      <c r="H40" s="184"/>
      <c r="I40" s="184"/>
      <c r="J40" s="184"/>
      <c r="K40" s="184"/>
      <c r="L40" s="184"/>
      <c r="M40" s="184"/>
      <c r="N40" s="184"/>
      <c r="O40" s="184"/>
      <c r="P40" s="184"/>
      <c r="Q40" s="200"/>
    </row>
    <row r="41" spans="1:17" s="136" customFormat="1" ht="10.5" customHeight="1" x14ac:dyDescent="0.15">
      <c r="B41" s="484" t="s">
        <v>202</v>
      </c>
      <c r="C41" s="484"/>
      <c r="D41" s="484"/>
      <c r="E41" s="484"/>
      <c r="F41" s="484"/>
      <c r="G41" s="484"/>
      <c r="H41" s="484"/>
      <c r="I41" s="484"/>
      <c r="J41" s="484"/>
      <c r="K41" s="484"/>
      <c r="L41" s="484"/>
      <c r="M41" s="484"/>
      <c r="N41" s="484"/>
      <c r="O41" s="184"/>
      <c r="P41" s="184"/>
      <c r="Q41" s="184"/>
    </row>
    <row r="42" spans="1:17" s="136" customFormat="1" ht="10.5" customHeight="1" x14ac:dyDescent="0.15">
      <c r="B42" s="484" t="s">
        <v>203</v>
      </c>
      <c r="C42" s="484"/>
      <c r="D42" s="484"/>
      <c r="E42" s="484"/>
      <c r="F42" s="484"/>
      <c r="G42" s="484"/>
      <c r="H42" s="484"/>
      <c r="I42" s="484"/>
      <c r="J42" s="484"/>
      <c r="K42" s="484"/>
      <c r="L42" s="484"/>
      <c r="M42" s="484"/>
      <c r="N42" s="484"/>
      <c r="O42" s="184"/>
      <c r="P42" s="184"/>
      <c r="Q42" s="184"/>
    </row>
    <row r="43" spans="1:17" ht="13.5" customHeight="1" x14ac:dyDescent="0.15">
      <c r="A43" s="481"/>
      <c r="B43" s="481"/>
      <c r="C43" s="481"/>
      <c r="D43" s="481"/>
      <c r="E43" s="481"/>
      <c r="F43" s="481"/>
      <c r="G43" s="481"/>
      <c r="H43" s="481"/>
      <c r="I43" s="481"/>
      <c r="J43" s="481"/>
      <c r="K43" s="481"/>
      <c r="L43" s="481"/>
      <c r="M43" s="481"/>
      <c r="N43" s="481"/>
      <c r="O43" s="481"/>
      <c r="P43" s="481"/>
      <c r="Q43" s="129"/>
    </row>
    <row r="44" spans="1:17" x14ac:dyDescent="0.15">
      <c r="C44" s="130"/>
      <c r="D44" s="130"/>
      <c r="E44" s="130"/>
      <c r="F44" s="130"/>
      <c r="G44" s="130"/>
      <c r="H44" s="130"/>
      <c r="M44" s="273"/>
      <c r="N44" s="273"/>
      <c r="O44" s="273"/>
      <c r="P44" s="273"/>
      <c r="Q44" s="273"/>
    </row>
    <row r="45" spans="1:17" x14ac:dyDescent="0.15">
      <c r="C45" s="130"/>
      <c r="D45" s="130"/>
      <c r="E45" s="130"/>
      <c r="F45" s="130"/>
      <c r="G45" s="130"/>
      <c r="H45" s="130"/>
      <c r="L45" s="273"/>
      <c r="M45" s="273"/>
      <c r="N45" s="273"/>
      <c r="O45" s="273"/>
      <c r="P45" s="273"/>
      <c r="Q45" s="273"/>
    </row>
    <row r="46" spans="1:17" x14ac:dyDescent="0.15">
      <c r="C46" s="130"/>
      <c r="D46" s="130"/>
      <c r="E46" s="130"/>
      <c r="F46" s="130"/>
      <c r="G46" s="130"/>
      <c r="H46" s="130"/>
      <c r="N46" s="315"/>
      <c r="O46" s="315"/>
      <c r="P46" s="315"/>
      <c r="Q46" s="315"/>
    </row>
    <row r="47" spans="1:17" x14ac:dyDescent="0.15">
      <c r="C47" s="130"/>
      <c r="D47" s="130"/>
      <c r="E47" s="130"/>
      <c r="F47" s="130"/>
      <c r="G47" s="130"/>
      <c r="H47" s="130"/>
      <c r="M47" s="273"/>
      <c r="N47" s="273"/>
      <c r="O47" s="273"/>
      <c r="P47" s="273"/>
      <c r="Q47" s="273"/>
    </row>
    <row r="48" spans="1:17" x14ac:dyDescent="0.15">
      <c r="M48" s="273"/>
      <c r="N48" s="273"/>
      <c r="O48" s="273"/>
      <c r="P48" s="273"/>
      <c r="Q48" s="273"/>
    </row>
    <row r="49" spans="1:17" ht="18.75" customHeight="1" x14ac:dyDescent="0.15">
      <c r="B49" s="507"/>
      <c r="C49" s="507"/>
      <c r="D49" s="507"/>
      <c r="E49" s="132" t="s">
        <v>72</v>
      </c>
      <c r="F49" s="7"/>
      <c r="G49" s="7"/>
    </row>
    <row r="50" spans="1:17" x14ac:dyDescent="0.15">
      <c r="D50" s="9"/>
      <c r="E50" s="9"/>
      <c r="F50" s="9"/>
      <c r="G50" s="9"/>
      <c r="H50" s="9"/>
    </row>
    <row r="51" spans="1:17" ht="17.25" x14ac:dyDescent="0.15">
      <c r="D51" s="9"/>
      <c r="E51" s="9"/>
      <c r="F51" s="9"/>
      <c r="G51" s="9"/>
      <c r="H51" s="9"/>
      <c r="J51" s="133" t="s">
        <v>211</v>
      </c>
    </row>
    <row r="52" spans="1:17" x14ac:dyDescent="0.15">
      <c r="B52" s="214"/>
      <c r="C52" s="214"/>
      <c r="D52" s="214"/>
      <c r="E52" s="214"/>
      <c r="F52" s="214"/>
      <c r="G52" s="214"/>
      <c r="H52" s="214"/>
      <c r="I52" s="214"/>
      <c r="J52" s="214"/>
      <c r="K52" s="214"/>
      <c r="L52" s="214"/>
      <c r="M52" s="214"/>
      <c r="N52" s="214"/>
      <c r="O52" s="214"/>
      <c r="P52" s="316"/>
    </row>
    <row r="53" spans="1:17" x14ac:dyDescent="0.15">
      <c r="B53" s="214"/>
      <c r="C53" s="214"/>
      <c r="D53" s="214"/>
      <c r="E53" s="214"/>
      <c r="F53" s="214"/>
      <c r="G53" s="214"/>
      <c r="H53" s="214"/>
      <c r="I53" s="214"/>
      <c r="J53" s="214"/>
      <c r="K53" s="214"/>
      <c r="L53" s="214"/>
      <c r="M53" s="214"/>
      <c r="N53" s="214"/>
      <c r="O53" s="214"/>
      <c r="P53" s="316"/>
    </row>
    <row r="54" spans="1:17" x14ac:dyDescent="0.15">
      <c r="B54" s="214"/>
      <c r="C54" s="214"/>
      <c r="D54" s="214"/>
      <c r="E54" s="214"/>
      <c r="F54" s="214"/>
      <c r="G54" s="214"/>
      <c r="H54" s="214"/>
      <c r="I54" s="214"/>
      <c r="J54" s="214"/>
      <c r="K54" s="214"/>
      <c r="L54" s="214"/>
      <c r="M54" s="134" t="s">
        <v>74</v>
      </c>
      <c r="N54" s="482">
        <f>O12</f>
        <v>0</v>
      </c>
      <c r="O54" s="482"/>
      <c r="P54" s="482"/>
      <c r="Q54" s="134"/>
    </row>
    <row r="55" spans="1:17" x14ac:dyDescent="0.15">
      <c r="B55" s="214"/>
      <c r="C55" s="214"/>
      <c r="D55" s="214"/>
      <c r="E55" s="214"/>
      <c r="F55" s="214"/>
      <c r="G55" s="214"/>
      <c r="H55" s="214"/>
      <c r="I55" s="214"/>
      <c r="J55" s="214"/>
      <c r="K55" s="214"/>
      <c r="L55" s="214"/>
      <c r="M55" s="140"/>
      <c r="N55" s="483">
        <f>O13</f>
        <v>0</v>
      </c>
      <c r="O55" s="483"/>
      <c r="P55" s="483"/>
      <c r="Q55" s="135" t="s">
        <v>75</v>
      </c>
    </row>
    <row r="56" spans="1:17" ht="11.25" customHeight="1" x14ac:dyDescent="0.15">
      <c r="B56" s="190"/>
      <c r="C56" s="190"/>
      <c r="D56" s="190"/>
      <c r="E56" s="190"/>
      <c r="F56" s="190"/>
      <c r="G56" s="190"/>
      <c r="H56" s="190"/>
      <c r="I56" s="190"/>
      <c r="J56" s="190"/>
      <c r="K56" s="190"/>
      <c r="L56" s="190"/>
      <c r="M56" s="190"/>
      <c r="N56" s="190"/>
      <c r="O56" s="190"/>
      <c r="P56" s="190"/>
      <c r="Q56" s="344"/>
    </row>
    <row r="57" spans="1:17" ht="11.25" customHeight="1" x14ac:dyDescent="0.15">
      <c r="B57" s="133"/>
      <c r="C57" s="133"/>
      <c r="D57" s="133"/>
      <c r="E57" s="133"/>
      <c r="F57" s="133"/>
      <c r="G57" s="133"/>
      <c r="H57" s="133"/>
      <c r="I57" s="133"/>
      <c r="J57" s="133"/>
      <c r="K57" s="133"/>
      <c r="L57" s="133"/>
      <c r="M57" s="133"/>
      <c r="N57" s="133"/>
      <c r="O57" s="133"/>
      <c r="P57" s="317"/>
      <c r="Q57" s="344"/>
    </row>
    <row r="58" spans="1:17" ht="11.25" customHeight="1" x14ac:dyDescent="0.15">
      <c r="B58" s="138"/>
      <c r="C58" s="138"/>
      <c r="D58" s="138"/>
      <c r="E58" s="138"/>
      <c r="F58" s="138"/>
      <c r="G58" s="138"/>
      <c r="H58" s="138"/>
      <c r="I58" s="138"/>
      <c r="J58" s="138"/>
      <c r="K58" s="138"/>
      <c r="L58" s="138"/>
      <c r="M58" s="138"/>
      <c r="N58" s="138"/>
      <c r="O58" s="138"/>
      <c r="P58" s="138"/>
      <c r="Q58" s="344"/>
    </row>
    <row r="59" spans="1:17" ht="8.1" customHeight="1" x14ac:dyDescent="0.15">
      <c r="A59" s="139"/>
      <c r="B59" s="140"/>
      <c r="C59" s="140"/>
      <c r="D59" s="140"/>
      <c r="K59" s="141"/>
      <c r="L59" s="141"/>
      <c r="M59" s="141"/>
      <c r="N59" s="141"/>
      <c r="O59" s="140"/>
      <c r="P59" s="140"/>
      <c r="Q59" s="317"/>
    </row>
    <row r="60" spans="1:17" ht="5.0999999999999996" customHeight="1" x14ac:dyDescent="0.15">
      <c r="A60" s="140"/>
      <c r="B60" s="140"/>
      <c r="C60" s="140"/>
      <c r="D60" s="140"/>
      <c r="K60" s="141"/>
      <c r="L60" s="141"/>
      <c r="M60" s="140"/>
      <c r="N60" s="134"/>
      <c r="O60" s="140"/>
      <c r="P60" s="140"/>
      <c r="Q60" s="138"/>
    </row>
    <row r="61" spans="1:17" ht="8.1" customHeight="1" x14ac:dyDescent="0.15">
      <c r="A61" s="140"/>
      <c r="B61" s="140"/>
      <c r="C61" s="140"/>
      <c r="D61" s="140"/>
      <c r="E61" s="140"/>
      <c r="F61" s="134"/>
      <c r="G61" s="134"/>
      <c r="H61" s="141"/>
      <c r="I61" s="141"/>
      <c r="J61" s="141"/>
      <c r="K61" s="141"/>
      <c r="L61" s="141"/>
      <c r="M61" s="134"/>
      <c r="N61" s="134"/>
      <c r="O61" s="140"/>
      <c r="P61" s="140"/>
      <c r="Q61" s="140"/>
    </row>
    <row r="62" spans="1:17" s="136" customFormat="1" ht="12" customHeight="1" x14ac:dyDescent="0.15">
      <c r="A62" s="143"/>
      <c r="B62" s="484"/>
      <c r="C62" s="484"/>
      <c r="D62" s="484"/>
      <c r="E62" s="143"/>
      <c r="F62" s="143"/>
      <c r="G62" s="484"/>
      <c r="H62" s="484"/>
      <c r="I62" s="144"/>
      <c r="J62" s="144"/>
      <c r="K62" s="144"/>
      <c r="L62" s="144"/>
      <c r="M62" s="143"/>
      <c r="N62" s="143"/>
      <c r="O62" s="143"/>
      <c r="P62" s="143"/>
      <c r="Q62" s="143"/>
    </row>
    <row r="63" spans="1:17" ht="12" customHeight="1" x14ac:dyDescent="0.15">
      <c r="A63" s="140"/>
      <c r="B63" s="759"/>
      <c r="C63" s="759"/>
      <c r="D63" s="759"/>
      <c r="E63" s="760"/>
      <c r="F63" s="134"/>
      <c r="G63" s="761"/>
      <c r="H63" s="761"/>
      <c r="I63" s="761"/>
      <c r="J63" s="761"/>
      <c r="K63" s="761"/>
      <c r="L63" s="762"/>
      <c r="M63" s="134"/>
      <c r="N63" s="134"/>
      <c r="O63" s="140"/>
      <c r="P63" s="140"/>
      <c r="Q63" s="140"/>
    </row>
    <row r="64" spans="1:17" ht="12" customHeight="1" x14ac:dyDescent="0.15">
      <c r="A64" s="140"/>
      <c r="B64" s="759"/>
      <c r="C64" s="759"/>
      <c r="D64" s="759"/>
      <c r="E64" s="760"/>
      <c r="F64" s="134"/>
      <c r="G64" s="761"/>
      <c r="H64" s="761"/>
      <c r="I64" s="761"/>
      <c r="J64" s="761"/>
      <c r="K64" s="761"/>
      <c r="L64" s="762"/>
      <c r="M64" s="134"/>
      <c r="N64" s="134"/>
      <c r="O64" s="140"/>
      <c r="P64" s="140"/>
      <c r="Q64" s="198"/>
    </row>
    <row r="65" spans="1:17" s="140" customFormat="1" ht="8.1" customHeight="1" x14ac:dyDescent="0.15">
      <c r="F65" s="134"/>
      <c r="G65" s="134"/>
      <c r="H65" s="141"/>
      <c r="I65" s="141"/>
      <c r="J65" s="141"/>
      <c r="K65" s="141"/>
      <c r="L65" s="141"/>
      <c r="M65" s="134"/>
      <c r="N65" s="134"/>
    </row>
    <row r="66" spans="1:17" s="140" customFormat="1" ht="13.5" customHeight="1" x14ac:dyDescent="0.15">
      <c r="A66" s="143"/>
      <c r="B66" s="758" t="s">
        <v>80</v>
      </c>
      <c r="C66" s="758"/>
      <c r="D66" s="758"/>
      <c r="E66" s="485"/>
      <c r="F66" s="485"/>
      <c r="G66" s="144"/>
      <c r="H66" s="144"/>
      <c r="I66" s="144"/>
      <c r="J66" s="144"/>
      <c r="K66" s="144"/>
      <c r="L66" s="143"/>
      <c r="M66" s="143"/>
      <c r="N66" s="143"/>
      <c r="O66" s="136"/>
      <c r="P66" s="136"/>
    </row>
    <row r="67" spans="1:17" s="140" customFormat="1" ht="13.5" customHeight="1" x14ac:dyDescent="0.15">
      <c r="A67" s="143"/>
      <c r="B67" s="477" t="s">
        <v>192</v>
      </c>
      <c r="C67" s="501"/>
      <c r="D67" s="478"/>
      <c r="E67" s="477" t="s">
        <v>82</v>
      </c>
      <c r="F67" s="501"/>
      <c r="G67" s="345"/>
      <c r="H67" s="735" t="s">
        <v>109</v>
      </c>
      <c r="I67" s="473"/>
      <c r="J67" s="476" t="s">
        <v>212</v>
      </c>
      <c r="K67" s="473"/>
      <c r="L67" s="476" t="s">
        <v>194</v>
      </c>
      <c r="M67" s="735"/>
      <c r="N67" s="473"/>
      <c r="O67" s="148"/>
      <c r="P67" s="143"/>
    </row>
    <row r="68" spans="1:17" ht="13.5" customHeight="1" x14ac:dyDescent="0.15">
      <c r="A68" s="143"/>
      <c r="B68" s="156" t="s">
        <v>111</v>
      </c>
      <c r="C68" s="145" t="s">
        <v>125</v>
      </c>
      <c r="D68" s="143" t="s">
        <v>87</v>
      </c>
      <c r="E68" s="477" t="s">
        <v>59</v>
      </c>
      <c r="F68" s="501"/>
      <c r="G68" s="346"/>
      <c r="H68" s="471"/>
      <c r="I68" s="475"/>
      <c r="J68" s="474"/>
      <c r="K68" s="475"/>
      <c r="L68" s="474" t="s">
        <v>206</v>
      </c>
      <c r="M68" s="471"/>
      <c r="N68" s="475"/>
      <c r="O68" s="148"/>
      <c r="P68" s="143"/>
      <c r="Q68" s="200"/>
    </row>
    <row r="69" spans="1:17" s="129" customFormat="1" ht="13.5" customHeight="1" x14ac:dyDescent="0.15">
      <c r="A69" s="184"/>
      <c r="B69" s="150"/>
      <c r="C69" s="150"/>
      <c r="D69" s="150">
        <f>SUM(B69+C69)</f>
        <v>0</v>
      </c>
      <c r="E69" s="468"/>
      <c r="F69" s="734"/>
      <c r="G69" s="347"/>
      <c r="H69" s="734">
        <f>SUM(G69+E69)</f>
        <v>0</v>
      </c>
      <c r="I69" s="469"/>
      <c r="J69" s="468"/>
      <c r="K69" s="469"/>
      <c r="L69" s="468">
        <f>SUM(E69+H69-D69+J69)</f>
        <v>0</v>
      </c>
      <c r="M69" s="734"/>
      <c r="N69" s="469"/>
      <c r="O69" s="318"/>
      <c r="P69" s="184"/>
      <c r="Q69" s="348"/>
    </row>
    <row r="70" spans="1:17" ht="8.1" customHeight="1" x14ac:dyDescent="0.15">
      <c r="A70" s="136"/>
      <c r="B70" s="136"/>
      <c r="C70" s="136"/>
      <c r="D70" s="136"/>
      <c r="E70" s="136"/>
      <c r="F70" s="136"/>
      <c r="G70" s="136"/>
      <c r="H70" s="136"/>
      <c r="I70" s="136"/>
      <c r="J70" s="136"/>
      <c r="K70" s="136"/>
      <c r="L70" s="136"/>
      <c r="M70" s="136"/>
      <c r="N70" s="136"/>
      <c r="O70" s="136"/>
      <c r="P70" s="136"/>
    </row>
    <row r="71" spans="1:17" x14ac:dyDescent="0.15">
      <c r="A71" s="136"/>
      <c r="B71" s="470" t="s">
        <v>90</v>
      </c>
      <c r="C71" s="470"/>
      <c r="D71" s="470"/>
      <c r="E71" s="471"/>
      <c r="F71" s="471"/>
      <c r="G71" s="471"/>
      <c r="H71" s="471"/>
      <c r="I71" s="471"/>
      <c r="J71" s="143"/>
      <c r="K71" s="143"/>
      <c r="L71" s="136"/>
      <c r="M71" s="136"/>
      <c r="N71" s="136"/>
      <c r="O71" s="136"/>
      <c r="P71" s="136"/>
    </row>
    <row r="72" spans="1:17" ht="13.5" customHeight="1" x14ac:dyDescent="0.15">
      <c r="A72" s="472" t="s">
        <v>91</v>
      </c>
      <c r="B72" s="453" t="s">
        <v>61</v>
      </c>
      <c r="C72" s="473"/>
      <c r="D72" s="476" t="s">
        <v>93</v>
      </c>
      <c r="E72" s="477" t="s">
        <v>94</v>
      </c>
      <c r="F72" s="478"/>
      <c r="G72" s="473" t="s">
        <v>196</v>
      </c>
      <c r="H72" s="453" t="s">
        <v>197</v>
      </c>
      <c r="I72" s="454"/>
      <c r="J72" s="463" t="s">
        <v>198</v>
      </c>
      <c r="K72" s="496" t="s">
        <v>207</v>
      </c>
      <c r="L72" s="496" t="s">
        <v>208</v>
      </c>
      <c r="M72" s="463" t="s">
        <v>209</v>
      </c>
      <c r="N72" s="465" t="s">
        <v>101</v>
      </c>
      <c r="O72" s="453" t="s">
        <v>210</v>
      </c>
      <c r="P72" s="454"/>
    </row>
    <row r="73" spans="1:17" ht="13.5" customHeight="1" x14ac:dyDescent="0.15">
      <c r="A73" s="472"/>
      <c r="B73" s="474"/>
      <c r="C73" s="475"/>
      <c r="D73" s="474"/>
      <c r="E73" s="145" t="s">
        <v>19</v>
      </c>
      <c r="F73" s="145" t="s">
        <v>20</v>
      </c>
      <c r="G73" s="475"/>
      <c r="H73" s="455"/>
      <c r="I73" s="456"/>
      <c r="J73" s="480"/>
      <c r="K73" s="512"/>
      <c r="L73" s="497"/>
      <c r="M73" s="464"/>
      <c r="N73" s="465"/>
      <c r="O73" s="455"/>
      <c r="P73" s="456"/>
    </row>
    <row r="74" spans="1:17" s="129" customFormat="1" ht="26.1" customHeight="1" x14ac:dyDescent="0.15">
      <c r="A74" s="349"/>
      <c r="B74" s="732"/>
      <c r="C74" s="733"/>
      <c r="D74" s="350"/>
      <c r="E74" s="351"/>
      <c r="F74" s="352"/>
      <c r="G74" s="327"/>
      <c r="H74" s="754"/>
      <c r="I74" s="755"/>
      <c r="J74" s="193"/>
      <c r="K74" s="353"/>
      <c r="L74" s="193"/>
      <c r="M74" s="329"/>
      <c r="N74" s="329"/>
      <c r="O74" s="756"/>
      <c r="P74" s="757"/>
    </row>
    <row r="75" spans="1:17" s="129" customFormat="1" ht="26.1" customHeight="1" x14ac:dyDescent="0.15">
      <c r="A75" s="354"/>
      <c r="B75" s="730"/>
      <c r="C75" s="731"/>
      <c r="D75" s="355"/>
      <c r="E75" s="356"/>
      <c r="F75" s="356"/>
      <c r="G75" s="331"/>
      <c r="H75" s="750"/>
      <c r="I75" s="751"/>
      <c r="J75" s="195"/>
      <c r="K75" s="357"/>
      <c r="L75" s="195"/>
      <c r="M75" s="333"/>
      <c r="N75" s="333"/>
      <c r="O75" s="750"/>
      <c r="P75" s="751"/>
    </row>
    <row r="76" spans="1:17" s="129" customFormat="1" ht="26.1" customHeight="1" x14ac:dyDescent="0.15">
      <c r="A76" s="354"/>
      <c r="B76" s="730"/>
      <c r="C76" s="731"/>
      <c r="D76" s="355"/>
      <c r="E76" s="356"/>
      <c r="F76" s="356"/>
      <c r="G76" s="331"/>
      <c r="H76" s="750"/>
      <c r="I76" s="751"/>
      <c r="J76" s="195"/>
      <c r="K76" s="357"/>
      <c r="L76" s="195"/>
      <c r="M76" s="333"/>
      <c r="N76" s="333"/>
      <c r="O76" s="750"/>
      <c r="P76" s="751"/>
    </row>
    <row r="77" spans="1:17" s="129" customFormat="1" ht="26.1" customHeight="1" x14ac:dyDescent="0.15">
      <c r="A77" s="354"/>
      <c r="B77" s="730"/>
      <c r="C77" s="731"/>
      <c r="D77" s="355"/>
      <c r="E77" s="356"/>
      <c r="F77" s="356"/>
      <c r="G77" s="331"/>
      <c r="H77" s="750"/>
      <c r="I77" s="751"/>
      <c r="J77" s="195"/>
      <c r="K77" s="357"/>
      <c r="L77" s="195"/>
      <c r="M77" s="333"/>
      <c r="N77" s="333"/>
      <c r="O77" s="750"/>
      <c r="P77" s="751"/>
    </row>
    <row r="78" spans="1:17" s="129" customFormat="1" ht="26.1" customHeight="1" x14ac:dyDescent="0.15">
      <c r="A78" s="354"/>
      <c r="B78" s="730"/>
      <c r="C78" s="731"/>
      <c r="D78" s="355"/>
      <c r="E78" s="356"/>
      <c r="F78" s="356"/>
      <c r="G78" s="331"/>
      <c r="H78" s="750"/>
      <c r="I78" s="751"/>
      <c r="J78" s="195"/>
      <c r="K78" s="357"/>
      <c r="L78" s="195"/>
      <c r="M78" s="333"/>
      <c r="N78" s="333"/>
      <c r="O78" s="750"/>
      <c r="P78" s="751"/>
    </row>
    <row r="79" spans="1:17" s="129" customFormat="1" ht="26.1" customHeight="1" x14ac:dyDescent="0.15">
      <c r="A79" s="358"/>
      <c r="B79" s="730"/>
      <c r="C79" s="731"/>
      <c r="D79" s="359"/>
      <c r="E79" s="360"/>
      <c r="F79" s="361"/>
      <c r="G79" s="336"/>
      <c r="H79" s="752"/>
      <c r="I79" s="753"/>
      <c r="J79" s="197"/>
      <c r="K79" s="362"/>
      <c r="L79" s="197"/>
      <c r="M79" s="338"/>
      <c r="N79" s="338"/>
      <c r="O79" s="748"/>
      <c r="P79" s="749"/>
    </row>
    <row r="80" spans="1:17" s="129" customFormat="1" x14ac:dyDescent="0.15">
      <c r="A80" s="448" t="s">
        <v>103</v>
      </c>
      <c r="B80" s="449"/>
      <c r="C80" s="449"/>
      <c r="D80" s="450"/>
      <c r="E80" s="145">
        <f>SUM(E74:E79)</f>
        <v>0</v>
      </c>
      <c r="F80" s="149">
        <f>SUM(F74:F79)</f>
        <v>0</v>
      </c>
      <c r="G80" s="341"/>
      <c r="H80" s="184"/>
      <c r="I80" s="184"/>
      <c r="J80" s="342"/>
      <c r="K80" s="184"/>
      <c r="L80" s="363">
        <f>SUM(L74:L79)</f>
        <v>0</v>
      </c>
      <c r="M80" s="343">
        <f>SUM(M74:M79)</f>
        <v>0</v>
      </c>
      <c r="N80" s="343">
        <f>SUM(N74:N79)</f>
        <v>0</v>
      </c>
      <c r="O80" s="748">
        <f>SUM(L80-M80-N80)</f>
        <v>0</v>
      </c>
      <c r="P80" s="749"/>
      <c r="Q80" s="273"/>
    </row>
    <row r="81" spans="2:17" ht="12" customHeight="1" x14ac:dyDescent="0.15">
      <c r="B81" s="200"/>
      <c r="C81" s="200"/>
      <c r="D81" s="200"/>
      <c r="E81" s="200"/>
      <c r="F81" s="200"/>
      <c r="G81" s="200"/>
      <c r="H81" s="435"/>
      <c r="I81" s="435"/>
      <c r="J81" s="435"/>
      <c r="K81" s="435"/>
      <c r="L81" s="435"/>
      <c r="M81" s="435"/>
      <c r="N81" s="435"/>
      <c r="O81" s="435"/>
      <c r="P81" s="435"/>
      <c r="Q81" s="273"/>
    </row>
    <row r="82" spans="2:17" ht="8.1" customHeight="1" x14ac:dyDescent="0.15">
      <c r="B82" s="200"/>
      <c r="C82" s="200"/>
      <c r="D82" s="200"/>
      <c r="E82" s="200"/>
      <c r="F82" s="200"/>
      <c r="G82" s="200"/>
      <c r="H82" s="184"/>
      <c r="I82" s="184"/>
      <c r="J82" s="184"/>
      <c r="K82" s="184"/>
      <c r="L82" s="184"/>
      <c r="M82" s="184"/>
      <c r="N82" s="184"/>
      <c r="O82" s="184"/>
      <c r="P82" s="184"/>
      <c r="Q82" s="273"/>
    </row>
    <row r="83" spans="2:17" s="136" customFormat="1" ht="10.5" x14ac:dyDescent="0.15">
      <c r="B83" s="484" t="s">
        <v>202</v>
      </c>
      <c r="C83" s="484"/>
      <c r="D83" s="484"/>
      <c r="E83" s="484"/>
      <c r="F83" s="484"/>
      <c r="G83" s="484"/>
      <c r="H83" s="484"/>
      <c r="I83" s="484"/>
      <c r="J83" s="484"/>
      <c r="K83" s="484"/>
      <c r="L83" s="484"/>
      <c r="M83" s="484"/>
      <c r="N83" s="484"/>
      <c r="O83" s="184"/>
      <c r="P83" s="184"/>
      <c r="Q83" s="184"/>
    </row>
    <row r="84" spans="2:17" s="136" customFormat="1" ht="10.5" x14ac:dyDescent="0.15">
      <c r="B84" s="484" t="s">
        <v>203</v>
      </c>
      <c r="C84" s="484"/>
      <c r="D84" s="484"/>
      <c r="E84" s="484"/>
      <c r="F84" s="484"/>
      <c r="G84" s="484"/>
      <c r="H84" s="484"/>
      <c r="I84" s="484"/>
      <c r="J84" s="484"/>
      <c r="K84" s="484"/>
      <c r="L84" s="484"/>
      <c r="M84" s="484"/>
      <c r="N84" s="484"/>
      <c r="O84" s="184"/>
      <c r="P84" s="184"/>
    </row>
  </sheetData>
  <mergeCells count="122">
    <mergeCell ref="A1:P1"/>
    <mergeCell ref="B3:F4"/>
    <mergeCell ref="B7:D7"/>
    <mergeCell ref="O12:P12"/>
    <mergeCell ref="O13:P13"/>
    <mergeCell ref="B20:D20"/>
    <mergeCell ref="G20:H20"/>
    <mergeCell ref="J25:K26"/>
    <mergeCell ref="L25:N25"/>
    <mergeCell ref="E26:F26"/>
    <mergeCell ref="L26:N26"/>
    <mergeCell ref="B21:D22"/>
    <mergeCell ref="E21:E22"/>
    <mergeCell ref="G21:K22"/>
    <mergeCell ref="L21:L22"/>
    <mergeCell ref="B24:D24"/>
    <mergeCell ref="E24:F24"/>
    <mergeCell ref="A30:A31"/>
    <mergeCell ref="B30:C31"/>
    <mergeCell ref="D30:D31"/>
    <mergeCell ref="E30:F30"/>
    <mergeCell ref="G30:G31"/>
    <mergeCell ref="H30:I31"/>
    <mergeCell ref="B25:D25"/>
    <mergeCell ref="E25:F25"/>
    <mergeCell ref="G25:G27"/>
    <mergeCell ref="H25:I26"/>
    <mergeCell ref="J30:J31"/>
    <mergeCell ref="K30:K31"/>
    <mergeCell ref="L30:L31"/>
    <mergeCell ref="M30:M31"/>
    <mergeCell ref="N30:N31"/>
    <mergeCell ref="O30:P31"/>
    <mergeCell ref="J27:K27"/>
    <mergeCell ref="L27:N27"/>
    <mergeCell ref="B29:D29"/>
    <mergeCell ref="E29:I29"/>
    <mergeCell ref="B34:C34"/>
    <mergeCell ref="H34:I34"/>
    <mergeCell ref="O34:P34"/>
    <mergeCell ref="E27:F27"/>
    <mergeCell ref="H27:I27"/>
    <mergeCell ref="B35:C35"/>
    <mergeCell ref="H35:I35"/>
    <mergeCell ref="O35:P35"/>
    <mergeCell ref="B32:C32"/>
    <mergeCell ref="H32:I32"/>
    <mergeCell ref="O32:P32"/>
    <mergeCell ref="B33:C33"/>
    <mergeCell ref="H33:I33"/>
    <mergeCell ref="O33:P33"/>
    <mergeCell ref="A38:D38"/>
    <mergeCell ref="O38:P38"/>
    <mergeCell ref="H39:P39"/>
    <mergeCell ref="B41:N41"/>
    <mergeCell ref="B42:N42"/>
    <mergeCell ref="A43:P43"/>
    <mergeCell ref="B36:C36"/>
    <mergeCell ref="H36:I36"/>
    <mergeCell ref="O36:P36"/>
    <mergeCell ref="B37:C37"/>
    <mergeCell ref="H37:I37"/>
    <mergeCell ref="O37:P37"/>
    <mergeCell ref="B49:D49"/>
    <mergeCell ref="N54:P54"/>
    <mergeCell ref="N55:P55"/>
    <mergeCell ref="B62:D62"/>
    <mergeCell ref="G62:H62"/>
    <mergeCell ref="B63:D64"/>
    <mergeCell ref="E63:E64"/>
    <mergeCell ref="G63:K64"/>
    <mergeCell ref="L63:L64"/>
    <mergeCell ref="L67:N67"/>
    <mergeCell ref="E68:F68"/>
    <mergeCell ref="L68:N68"/>
    <mergeCell ref="E69:F69"/>
    <mergeCell ref="H69:I69"/>
    <mergeCell ref="J69:K69"/>
    <mergeCell ref="L69:N69"/>
    <mergeCell ref="B66:D66"/>
    <mergeCell ref="E66:F66"/>
    <mergeCell ref="B67:D67"/>
    <mergeCell ref="E67:F67"/>
    <mergeCell ref="H67:I68"/>
    <mergeCell ref="J67:K68"/>
    <mergeCell ref="J72:J73"/>
    <mergeCell ref="K72:K73"/>
    <mergeCell ref="L72:L73"/>
    <mergeCell ref="M72:M73"/>
    <mergeCell ref="N72:N73"/>
    <mergeCell ref="O72:P73"/>
    <mergeCell ref="B71:D71"/>
    <mergeCell ref="E71:I71"/>
    <mergeCell ref="A72:A73"/>
    <mergeCell ref="B72:C73"/>
    <mergeCell ref="D72:D73"/>
    <mergeCell ref="E72:F72"/>
    <mergeCell ref="G72:G73"/>
    <mergeCell ref="H72:I73"/>
    <mergeCell ref="B76:C76"/>
    <mergeCell ref="H76:I76"/>
    <mergeCell ref="O76:P76"/>
    <mergeCell ref="B77:C77"/>
    <mergeCell ref="H77:I77"/>
    <mergeCell ref="O77:P77"/>
    <mergeCell ref="B74:C74"/>
    <mergeCell ref="H74:I74"/>
    <mergeCell ref="O74:P74"/>
    <mergeCell ref="B75:C75"/>
    <mergeCell ref="H75:I75"/>
    <mergeCell ref="O75:P75"/>
    <mergeCell ref="A80:D80"/>
    <mergeCell ref="O80:P80"/>
    <mergeCell ref="H81:P81"/>
    <mergeCell ref="B83:N83"/>
    <mergeCell ref="B84:N84"/>
    <mergeCell ref="B78:C78"/>
    <mergeCell ref="H78:I78"/>
    <mergeCell ref="O78:P78"/>
    <mergeCell ref="B79:C79"/>
    <mergeCell ref="H79:I79"/>
    <mergeCell ref="O79:P79"/>
  </mergeCells>
  <phoneticPr fontId="3"/>
  <pageMargins left="0.78740157480314965" right="0.39370078740157483" top="0.39370078740157483" bottom="0.19685039370078741" header="0.51181102362204722" footer="0.59055118110236227"/>
  <pageSetup paperSize="9"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95721-580C-40A1-B5F8-AEEF77C8B8CF}">
  <sheetPr codeName="Sheet18"/>
  <dimension ref="A1:M126"/>
  <sheetViews>
    <sheetView workbookViewId="0">
      <selection activeCell="R24" sqref="R24"/>
    </sheetView>
  </sheetViews>
  <sheetFormatPr defaultRowHeight="13.5" x14ac:dyDescent="0.15"/>
  <cols>
    <col min="1" max="1" width="9.125" style="3" customWidth="1"/>
    <col min="2" max="12" width="7.625" style="3" customWidth="1"/>
    <col min="257" max="257" width="9.125" customWidth="1"/>
    <col min="258" max="268" width="7.625" customWidth="1"/>
    <col min="513" max="513" width="9.125" customWidth="1"/>
    <col min="514" max="524" width="7.625" customWidth="1"/>
    <col min="769" max="769" width="9.125" customWidth="1"/>
    <col min="770" max="780" width="7.625" customWidth="1"/>
    <col min="1025" max="1025" width="9.125" customWidth="1"/>
    <col min="1026" max="1036" width="7.625" customWidth="1"/>
    <col min="1281" max="1281" width="9.125" customWidth="1"/>
    <col min="1282" max="1292" width="7.625" customWidth="1"/>
    <col min="1537" max="1537" width="9.125" customWidth="1"/>
    <col min="1538" max="1548" width="7.625" customWidth="1"/>
    <col min="1793" max="1793" width="9.125" customWidth="1"/>
    <col min="1794" max="1804" width="7.625" customWidth="1"/>
    <col min="2049" max="2049" width="9.125" customWidth="1"/>
    <col min="2050" max="2060" width="7.625" customWidth="1"/>
    <col min="2305" max="2305" width="9.125" customWidth="1"/>
    <col min="2306" max="2316" width="7.625" customWidth="1"/>
    <col min="2561" max="2561" width="9.125" customWidth="1"/>
    <col min="2562" max="2572" width="7.625" customWidth="1"/>
    <col min="2817" max="2817" width="9.125" customWidth="1"/>
    <col min="2818" max="2828" width="7.625" customWidth="1"/>
    <col min="3073" max="3073" width="9.125" customWidth="1"/>
    <col min="3074" max="3084" width="7.625" customWidth="1"/>
    <col min="3329" max="3329" width="9.125" customWidth="1"/>
    <col min="3330" max="3340" width="7.625" customWidth="1"/>
    <col min="3585" max="3585" width="9.125" customWidth="1"/>
    <col min="3586" max="3596" width="7.625" customWidth="1"/>
    <col min="3841" max="3841" width="9.125" customWidth="1"/>
    <col min="3842" max="3852" width="7.625" customWidth="1"/>
    <col min="4097" max="4097" width="9.125" customWidth="1"/>
    <col min="4098" max="4108" width="7.625" customWidth="1"/>
    <col min="4353" max="4353" width="9.125" customWidth="1"/>
    <col min="4354" max="4364" width="7.625" customWidth="1"/>
    <col min="4609" max="4609" width="9.125" customWidth="1"/>
    <col min="4610" max="4620" width="7.625" customWidth="1"/>
    <col min="4865" max="4865" width="9.125" customWidth="1"/>
    <col min="4866" max="4876" width="7.625" customWidth="1"/>
    <col min="5121" max="5121" width="9.125" customWidth="1"/>
    <col min="5122" max="5132" width="7.625" customWidth="1"/>
    <col min="5377" max="5377" width="9.125" customWidth="1"/>
    <col min="5378" max="5388" width="7.625" customWidth="1"/>
    <col min="5633" max="5633" width="9.125" customWidth="1"/>
    <col min="5634" max="5644" width="7.625" customWidth="1"/>
    <col min="5889" max="5889" width="9.125" customWidth="1"/>
    <col min="5890" max="5900" width="7.625" customWidth="1"/>
    <col min="6145" max="6145" width="9.125" customWidth="1"/>
    <col min="6146" max="6156" width="7.625" customWidth="1"/>
    <col min="6401" max="6401" width="9.125" customWidth="1"/>
    <col min="6402" max="6412" width="7.625" customWidth="1"/>
    <col min="6657" max="6657" width="9.125" customWidth="1"/>
    <col min="6658" max="6668" width="7.625" customWidth="1"/>
    <col min="6913" max="6913" width="9.125" customWidth="1"/>
    <col min="6914" max="6924" width="7.625" customWidth="1"/>
    <col min="7169" max="7169" width="9.125" customWidth="1"/>
    <col min="7170" max="7180" width="7.625" customWidth="1"/>
    <col min="7425" max="7425" width="9.125" customWidth="1"/>
    <col min="7426" max="7436" width="7.625" customWidth="1"/>
    <col min="7681" max="7681" width="9.125" customWidth="1"/>
    <col min="7682" max="7692" width="7.625" customWidth="1"/>
    <col min="7937" max="7937" width="9.125" customWidth="1"/>
    <col min="7938" max="7948" width="7.625" customWidth="1"/>
    <col min="8193" max="8193" width="9.125" customWidth="1"/>
    <col min="8194" max="8204" width="7.625" customWidth="1"/>
    <col min="8449" max="8449" width="9.125" customWidth="1"/>
    <col min="8450" max="8460" width="7.625" customWidth="1"/>
    <col min="8705" max="8705" width="9.125" customWidth="1"/>
    <col min="8706" max="8716" width="7.625" customWidth="1"/>
    <col min="8961" max="8961" width="9.125" customWidth="1"/>
    <col min="8962" max="8972" width="7.625" customWidth="1"/>
    <col min="9217" max="9217" width="9.125" customWidth="1"/>
    <col min="9218" max="9228" width="7.625" customWidth="1"/>
    <col min="9473" max="9473" width="9.125" customWidth="1"/>
    <col min="9474" max="9484" width="7.625" customWidth="1"/>
    <col min="9729" max="9729" width="9.125" customWidth="1"/>
    <col min="9730" max="9740" width="7.625" customWidth="1"/>
    <col min="9985" max="9985" width="9.125" customWidth="1"/>
    <col min="9986" max="9996" width="7.625" customWidth="1"/>
    <col min="10241" max="10241" width="9.125" customWidth="1"/>
    <col min="10242" max="10252" width="7.625" customWidth="1"/>
    <col min="10497" max="10497" width="9.125" customWidth="1"/>
    <col min="10498" max="10508" width="7.625" customWidth="1"/>
    <col min="10753" max="10753" width="9.125" customWidth="1"/>
    <col min="10754" max="10764" width="7.625" customWidth="1"/>
    <col min="11009" max="11009" width="9.125" customWidth="1"/>
    <col min="11010" max="11020" width="7.625" customWidth="1"/>
    <col min="11265" max="11265" width="9.125" customWidth="1"/>
    <col min="11266" max="11276" width="7.625" customWidth="1"/>
    <col min="11521" max="11521" width="9.125" customWidth="1"/>
    <col min="11522" max="11532" width="7.625" customWidth="1"/>
    <col min="11777" max="11777" width="9.125" customWidth="1"/>
    <col min="11778" max="11788" width="7.625" customWidth="1"/>
    <col min="12033" max="12033" width="9.125" customWidth="1"/>
    <col min="12034" max="12044" width="7.625" customWidth="1"/>
    <col min="12289" max="12289" width="9.125" customWidth="1"/>
    <col min="12290" max="12300" width="7.625" customWidth="1"/>
    <col min="12545" max="12545" width="9.125" customWidth="1"/>
    <col min="12546" max="12556" width="7.625" customWidth="1"/>
    <col min="12801" max="12801" width="9.125" customWidth="1"/>
    <col min="12802" max="12812" width="7.625" customWidth="1"/>
    <col min="13057" max="13057" width="9.125" customWidth="1"/>
    <col min="13058" max="13068" width="7.625" customWidth="1"/>
    <col min="13313" max="13313" width="9.125" customWidth="1"/>
    <col min="13314" max="13324" width="7.625" customWidth="1"/>
    <col min="13569" max="13569" width="9.125" customWidth="1"/>
    <col min="13570" max="13580" width="7.625" customWidth="1"/>
    <col min="13825" max="13825" width="9.125" customWidth="1"/>
    <col min="13826" max="13836" width="7.625" customWidth="1"/>
    <col min="14081" max="14081" width="9.125" customWidth="1"/>
    <col min="14082" max="14092" width="7.625" customWidth="1"/>
    <col min="14337" max="14337" width="9.125" customWidth="1"/>
    <col min="14338" max="14348" width="7.625" customWidth="1"/>
    <col min="14593" max="14593" width="9.125" customWidth="1"/>
    <col min="14594" max="14604" width="7.625" customWidth="1"/>
    <col min="14849" max="14849" width="9.125" customWidth="1"/>
    <col min="14850" max="14860" width="7.625" customWidth="1"/>
    <col min="15105" max="15105" width="9.125" customWidth="1"/>
    <col min="15106" max="15116" width="7.625" customWidth="1"/>
    <col min="15361" max="15361" width="9.125" customWidth="1"/>
    <col min="15362" max="15372" width="7.625" customWidth="1"/>
    <col min="15617" max="15617" width="9.125" customWidth="1"/>
    <col min="15618" max="15628" width="7.625" customWidth="1"/>
    <col min="15873" max="15873" width="9.125" customWidth="1"/>
    <col min="15874" max="15884" width="7.625" customWidth="1"/>
    <col min="16129" max="16129" width="9.125" customWidth="1"/>
    <col min="16130" max="16140" width="7.625" customWidth="1"/>
  </cols>
  <sheetData>
    <row r="1" spans="1:12" ht="13.5" customHeight="1" x14ac:dyDescent="0.15">
      <c r="A1" s="481"/>
      <c r="B1" s="481"/>
      <c r="C1" s="481"/>
      <c r="D1" s="481"/>
      <c r="E1" s="481"/>
      <c r="F1" s="481"/>
      <c r="G1" s="481"/>
      <c r="H1" s="481"/>
      <c r="I1" s="481"/>
      <c r="J1" s="481"/>
      <c r="K1" s="481"/>
      <c r="L1" s="481"/>
    </row>
    <row r="2" spans="1:12" ht="13.5" customHeight="1" x14ac:dyDescent="0.15">
      <c r="B2" s="506"/>
      <c r="C2" s="506"/>
      <c r="D2" s="506"/>
      <c r="E2" s="506"/>
      <c r="F2" s="506"/>
      <c r="I2" s="647"/>
      <c r="J2" s="647"/>
      <c r="K2" s="647"/>
      <c r="L2" s="647"/>
    </row>
    <row r="3" spans="1:12" ht="13.5" customHeight="1" x14ac:dyDescent="0.15">
      <c r="B3" s="772"/>
      <c r="C3" s="772"/>
      <c r="D3" s="772"/>
      <c r="E3" s="772"/>
      <c r="F3" s="772"/>
      <c r="G3" s="772"/>
      <c r="H3" s="773"/>
      <c r="I3" s="773"/>
      <c r="J3" s="773"/>
      <c r="K3" s="773"/>
      <c r="L3" s="773"/>
    </row>
    <row r="4" spans="1:12" ht="13.5" customHeight="1" x14ac:dyDescent="0.15">
      <c r="B4" s="772"/>
      <c r="C4" s="772"/>
      <c r="D4" s="772"/>
      <c r="E4" s="772"/>
      <c r="F4" s="772"/>
      <c r="G4" s="772"/>
      <c r="I4" s="774"/>
      <c r="J4" s="774"/>
      <c r="K4" s="774"/>
      <c r="L4" s="774"/>
    </row>
    <row r="5" spans="1:12" ht="13.5" customHeight="1" x14ac:dyDescent="0.15">
      <c r="B5" s="506"/>
      <c r="C5" s="506"/>
      <c r="D5" s="506"/>
      <c r="E5" s="506"/>
      <c r="F5" s="506"/>
      <c r="I5" s="647"/>
      <c r="J5" s="647"/>
      <c r="K5" s="647"/>
      <c r="L5" s="647"/>
    </row>
    <row r="6" spans="1:12" ht="13.5" customHeight="1" x14ac:dyDescent="0.15">
      <c r="B6" s="506"/>
      <c r="C6" s="506"/>
      <c r="D6" s="506"/>
      <c r="E6" s="506"/>
      <c r="F6" s="506"/>
      <c r="I6" s="647"/>
      <c r="J6" s="647"/>
      <c r="K6" s="647"/>
      <c r="L6" s="647"/>
    </row>
    <row r="7" spans="1:12" ht="18.75" customHeight="1" x14ac:dyDescent="0.15">
      <c r="B7" s="370"/>
      <c r="C7" s="370"/>
      <c r="D7" s="370"/>
      <c r="E7" s="370"/>
      <c r="F7" s="132" t="s">
        <v>72</v>
      </c>
    </row>
    <row r="8" spans="1:12" x14ac:dyDescent="0.15">
      <c r="C8" s="507"/>
      <c r="D8" s="507"/>
      <c r="E8" s="507"/>
      <c r="F8" s="9"/>
    </row>
    <row r="9" spans="1:12" x14ac:dyDescent="0.15">
      <c r="B9" s="9"/>
      <c r="C9" s="9"/>
      <c r="D9" s="9"/>
      <c r="E9" s="9"/>
      <c r="F9" s="9"/>
    </row>
    <row r="10" spans="1:12" x14ac:dyDescent="0.15">
      <c r="B10" s="9"/>
      <c r="C10" s="9"/>
      <c r="D10" s="9"/>
      <c r="E10" s="9"/>
      <c r="F10" s="9"/>
    </row>
    <row r="11" spans="1:12" x14ac:dyDescent="0.15">
      <c r="B11" s="9"/>
      <c r="C11" s="9"/>
      <c r="D11" s="9"/>
      <c r="E11" s="9"/>
      <c r="F11" s="9"/>
    </row>
    <row r="12" spans="1:12" x14ac:dyDescent="0.15">
      <c r="A12" s="9"/>
      <c r="B12" s="9"/>
      <c r="C12" s="9"/>
      <c r="D12" s="9"/>
      <c r="E12" s="9"/>
      <c r="F12" s="9"/>
    </row>
    <row r="13" spans="1:12" x14ac:dyDescent="0.15">
      <c r="A13" s="764" t="s">
        <v>213</v>
      </c>
      <c r="B13" s="764"/>
      <c r="C13" s="764"/>
      <c r="D13" s="764"/>
      <c r="E13" s="764"/>
      <c r="F13" s="764"/>
      <c r="G13" s="764"/>
      <c r="H13" s="764"/>
      <c r="I13" s="764"/>
      <c r="J13" s="764"/>
      <c r="K13" s="764"/>
      <c r="L13" s="764"/>
    </row>
    <row r="14" spans="1:12" x14ac:dyDescent="0.15">
      <c r="A14" s="764" t="s">
        <v>214</v>
      </c>
      <c r="B14" s="764"/>
      <c r="C14" s="764"/>
      <c r="D14" s="764"/>
      <c r="E14" s="764"/>
      <c r="F14" s="764"/>
      <c r="G14" s="764"/>
      <c r="H14" s="764"/>
      <c r="I14" s="764"/>
      <c r="J14" s="764"/>
      <c r="K14" s="764"/>
      <c r="L14" s="764"/>
    </row>
    <row r="15" spans="1:12" x14ac:dyDescent="0.15">
      <c r="A15" s="764" t="s">
        <v>215</v>
      </c>
      <c r="B15" s="764"/>
      <c r="C15" s="764"/>
      <c r="D15" s="764"/>
      <c r="E15" s="764"/>
      <c r="F15" s="764"/>
      <c r="G15" s="764"/>
      <c r="H15" s="764"/>
      <c r="I15" s="764"/>
      <c r="J15" s="764"/>
      <c r="K15" s="764"/>
      <c r="L15" s="764"/>
    </row>
    <row r="16" spans="1:12" x14ac:dyDescent="0.15">
      <c r="A16" s="764" t="s">
        <v>216</v>
      </c>
      <c r="B16" s="764"/>
      <c r="C16" s="764"/>
      <c r="D16" s="764"/>
      <c r="E16" s="764"/>
      <c r="F16" s="764"/>
      <c r="G16" s="764"/>
      <c r="H16" s="764"/>
      <c r="I16" s="764"/>
      <c r="J16" s="764"/>
      <c r="K16" s="764"/>
      <c r="L16" s="764"/>
    </row>
    <row r="17" spans="1:12" x14ac:dyDescent="0.15">
      <c r="A17" s="764" t="s">
        <v>217</v>
      </c>
      <c r="B17" s="764"/>
      <c r="C17" s="764"/>
      <c r="D17" s="764"/>
      <c r="E17" s="764"/>
      <c r="F17" s="764"/>
      <c r="G17" s="764"/>
      <c r="H17" s="764"/>
      <c r="I17" s="764"/>
      <c r="J17" s="764"/>
      <c r="K17" s="764"/>
      <c r="L17" s="764"/>
    </row>
    <row r="18" spans="1:12" x14ac:dyDescent="0.15">
      <c r="A18" s="764" t="s">
        <v>218</v>
      </c>
      <c r="B18" s="764"/>
      <c r="C18" s="764"/>
      <c r="D18" s="764"/>
      <c r="E18" s="764"/>
      <c r="F18" s="764"/>
      <c r="G18" s="764"/>
      <c r="H18" s="764"/>
      <c r="I18" s="764"/>
      <c r="J18" s="764"/>
      <c r="K18" s="764"/>
      <c r="L18" s="764"/>
    </row>
    <row r="19" spans="1:12" x14ac:dyDescent="0.15">
      <c r="B19" s="187"/>
      <c r="C19" s="187"/>
      <c r="D19" s="187"/>
      <c r="E19" s="187"/>
      <c r="F19" s="187"/>
      <c r="G19" s="187"/>
      <c r="H19" s="187"/>
      <c r="I19" s="187"/>
      <c r="K19" s="214" t="s">
        <v>219</v>
      </c>
      <c r="L19" s="187"/>
    </row>
    <row r="22" spans="1:12" x14ac:dyDescent="0.15">
      <c r="I22" s="364" t="s">
        <v>220</v>
      </c>
      <c r="J22" s="765"/>
      <c r="K22" s="765"/>
      <c r="L22" s="765"/>
    </row>
    <row r="24" spans="1:12" ht="17.25" x14ac:dyDescent="0.15">
      <c r="A24" s="766" t="s">
        <v>221</v>
      </c>
      <c r="B24" s="766"/>
      <c r="C24" s="766"/>
      <c r="D24" s="766"/>
      <c r="E24" s="766"/>
      <c r="F24" s="766"/>
      <c r="G24" s="766"/>
      <c r="H24" s="766"/>
      <c r="I24" s="766"/>
      <c r="J24" s="766"/>
      <c r="K24" s="766"/>
      <c r="L24" s="766"/>
    </row>
    <row r="25" spans="1:12" ht="14.25" x14ac:dyDescent="0.15">
      <c r="A25" s="138"/>
      <c r="B25" s="138"/>
      <c r="C25" s="138"/>
      <c r="D25" s="138"/>
      <c r="E25" s="138"/>
      <c r="F25" s="138"/>
      <c r="G25" s="138"/>
      <c r="H25" s="138"/>
      <c r="I25" s="138"/>
      <c r="J25" s="138"/>
      <c r="K25" s="138"/>
      <c r="L25" s="138"/>
    </row>
    <row r="26" spans="1:12" s="140" customFormat="1" ht="13.5" customHeight="1" x14ac:dyDescent="0.15">
      <c r="A26" s="767" t="s">
        <v>222</v>
      </c>
      <c r="B26" s="767"/>
      <c r="C26" s="767"/>
      <c r="D26" s="767"/>
      <c r="E26" s="767"/>
      <c r="F26" s="767"/>
      <c r="G26" s="767"/>
      <c r="H26" s="767"/>
      <c r="I26" s="767"/>
      <c r="J26" s="767"/>
      <c r="K26" s="767"/>
      <c r="L26" s="767"/>
    </row>
    <row r="27" spans="1:12" s="140" customFormat="1" ht="13.5" customHeight="1" x14ac:dyDescent="0.15">
      <c r="D27" s="16"/>
      <c r="E27" s="16"/>
      <c r="F27" s="365"/>
      <c r="G27" s="365"/>
      <c r="H27" s="365"/>
      <c r="I27" s="134"/>
      <c r="J27" s="134"/>
    </row>
    <row r="28" spans="1:12" s="140" customFormat="1" ht="13.5" customHeight="1" x14ac:dyDescent="0.15">
      <c r="A28" s="201"/>
      <c r="B28" s="201"/>
      <c r="C28" s="201"/>
      <c r="D28" s="768" t="s">
        <v>223</v>
      </c>
      <c r="E28" s="769"/>
      <c r="F28" s="508">
        <f>C8</f>
        <v>0</v>
      </c>
      <c r="G28" s="508"/>
      <c r="H28" s="508"/>
      <c r="I28" s="201"/>
      <c r="J28" s="201"/>
      <c r="K28" s="201"/>
      <c r="L28" s="201"/>
    </row>
    <row r="29" spans="1:12" x14ac:dyDescent="0.15">
      <c r="A29" s="201"/>
      <c r="B29" s="201"/>
      <c r="C29" s="201"/>
      <c r="D29" s="366"/>
      <c r="E29" s="366"/>
      <c r="F29" s="202"/>
      <c r="G29" s="202"/>
      <c r="H29" s="202"/>
      <c r="I29" s="201"/>
      <c r="J29" s="201"/>
      <c r="K29" s="201"/>
      <c r="L29" s="201"/>
    </row>
    <row r="30" spans="1:12" x14ac:dyDescent="0.15">
      <c r="A30" s="201"/>
      <c r="B30" s="201"/>
      <c r="C30" s="201"/>
      <c r="D30" s="768" t="s">
        <v>224</v>
      </c>
      <c r="E30" s="769"/>
      <c r="F30" s="508">
        <f>B7</f>
        <v>0</v>
      </c>
      <c r="G30" s="508"/>
      <c r="H30" s="508"/>
      <c r="I30" s="201"/>
      <c r="J30" s="201"/>
      <c r="K30" s="201"/>
      <c r="L30" s="201"/>
    </row>
    <row r="31" spans="1:12" x14ac:dyDescent="0.15">
      <c r="A31" s="201"/>
      <c r="B31" s="201"/>
      <c r="C31" s="201"/>
      <c r="D31" s="366"/>
      <c r="E31" s="366"/>
      <c r="F31" s="202"/>
      <c r="G31" s="202"/>
      <c r="H31" s="202"/>
      <c r="I31" s="201"/>
      <c r="J31" s="201"/>
      <c r="K31" s="201"/>
      <c r="L31" s="201"/>
    </row>
    <row r="32" spans="1:12" x14ac:dyDescent="0.15">
      <c r="A32" s="201"/>
      <c r="B32" s="201"/>
      <c r="C32" s="201"/>
      <c r="D32" s="768" t="s">
        <v>225</v>
      </c>
      <c r="E32" s="769"/>
      <c r="F32" s="770"/>
      <c r="G32" s="770"/>
      <c r="H32" s="770"/>
      <c r="I32" s="201"/>
      <c r="J32" s="201"/>
      <c r="K32" s="201"/>
      <c r="L32" s="201"/>
    </row>
    <row r="33" spans="1:12" x14ac:dyDescent="0.15">
      <c r="A33" s="200"/>
      <c r="B33" s="200"/>
      <c r="C33" s="200"/>
      <c r="D33" s="200"/>
      <c r="E33" s="200"/>
      <c r="F33" s="200"/>
      <c r="G33" s="200"/>
      <c r="H33" s="200"/>
      <c r="I33" s="200"/>
      <c r="J33" s="200"/>
      <c r="K33" s="200"/>
      <c r="L33" s="200"/>
    </row>
    <row r="34" spans="1:12" x14ac:dyDescent="0.15">
      <c r="A34" s="200"/>
      <c r="B34" s="200"/>
      <c r="C34" s="200"/>
      <c r="D34" s="200"/>
      <c r="E34" s="200"/>
      <c r="F34" s="200"/>
      <c r="G34" s="200"/>
      <c r="H34" s="200"/>
      <c r="I34" s="200"/>
      <c r="J34" s="200"/>
      <c r="K34" s="200"/>
      <c r="L34" s="200"/>
    </row>
    <row r="35" spans="1:12" x14ac:dyDescent="0.15">
      <c r="A35" s="200"/>
      <c r="B35" s="200"/>
      <c r="C35" s="200"/>
      <c r="D35" s="200"/>
      <c r="E35" s="200"/>
      <c r="F35" s="200"/>
      <c r="G35" s="200"/>
      <c r="H35" s="200"/>
      <c r="I35" s="200"/>
      <c r="J35" s="200"/>
      <c r="K35" s="200"/>
      <c r="L35" s="200"/>
    </row>
    <row r="36" spans="1:12" x14ac:dyDescent="0.15">
      <c r="A36" s="200"/>
      <c r="B36" s="200"/>
      <c r="C36" s="200"/>
      <c r="D36" s="200"/>
      <c r="E36" s="200"/>
      <c r="F36" s="200"/>
      <c r="G36" s="200"/>
      <c r="H36" s="200"/>
      <c r="I36" s="200"/>
      <c r="J36" s="200"/>
      <c r="K36" s="200"/>
      <c r="L36" s="200"/>
    </row>
    <row r="51" spans="1:13" x14ac:dyDescent="0.15">
      <c r="A51" s="185"/>
      <c r="B51" s="185"/>
      <c r="C51" s="185"/>
      <c r="D51" s="185"/>
      <c r="E51" s="185"/>
      <c r="F51" s="185"/>
      <c r="G51" s="185"/>
      <c r="H51" s="185"/>
      <c r="I51" s="185"/>
      <c r="J51" s="185"/>
      <c r="K51" s="185"/>
      <c r="L51" s="185"/>
      <c r="M51" s="16"/>
    </row>
    <row r="52" spans="1:13" x14ac:dyDescent="0.15">
      <c r="A52" s="185"/>
      <c r="B52" s="185"/>
      <c r="C52" s="185"/>
      <c r="D52" s="185"/>
      <c r="E52" s="185"/>
      <c r="F52" s="185"/>
      <c r="G52" s="185"/>
      <c r="H52" s="185"/>
      <c r="I52" s="185"/>
      <c r="J52" s="185"/>
      <c r="K52" s="185"/>
      <c r="L52" s="185"/>
      <c r="M52" s="16"/>
    </row>
    <row r="53" spans="1:13" x14ac:dyDescent="0.15">
      <c r="A53" s="185"/>
      <c r="B53" s="185"/>
      <c r="C53" s="185"/>
      <c r="D53" s="185"/>
      <c r="E53" s="185"/>
      <c r="F53" s="185"/>
      <c r="G53" s="185"/>
      <c r="H53" s="185"/>
      <c r="I53" s="185"/>
      <c r="J53" s="185"/>
      <c r="K53" s="185"/>
      <c r="L53" s="185"/>
      <c r="M53" s="16"/>
    </row>
    <row r="54" spans="1:13" x14ac:dyDescent="0.15">
      <c r="A54" s="185"/>
      <c r="B54" s="185"/>
      <c r="C54" s="185"/>
      <c r="D54" s="185"/>
      <c r="E54" s="185"/>
      <c r="F54" s="185"/>
      <c r="G54" s="185"/>
      <c r="H54" s="185"/>
      <c r="I54" s="185"/>
      <c r="J54" s="185"/>
      <c r="K54" s="185"/>
      <c r="L54" s="185"/>
    </row>
    <row r="55" spans="1:13" x14ac:dyDescent="0.15">
      <c r="A55" s="185" t="s">
        <v>226</v>
      </c>
      <c r="B55" s="185"/>
      <c r="C55" s="185"/>
      <c r="D55" s="185"/>
      <c r="E55" s="185"/>
      <c r="F55" s="185" t="s">
        <v>227</v>
      </c>
      <c r="G55" s="185"/>
      <c r="H55" s="185"/>
      <c r="I55" s="185"/>
      <c r="J55" s="185"/>
      <c r="K55" s="185"/>
      <c r="L55" s="185"/>
    </row>
    <row r="56" spans="1:13" x14ac:dyDescent="0.15">
      <c r="A56" s="185"/>
      <c r="B56" s="185"/>
      <c r="C56" s="185"/>
      <c r="D56" s="185"/>
      <c r="E56" s="185"/>
      <c r="F56" s="185"/>
      <c r="G56" s="185"/>
      <c r="H56" s="185"/>
      <c r="I56" s="185"/>
      <c r="J56" s="185"/>
      <c r="K56" s="185"/>
      <c r="L56" s="185"/>
    </row>
    <row r="57" spans="1:13" x14ac:dyDescent="0.15">
      <c r="A57" s="775" t="s">
        <v>228</v>
      </c>
      <c r="B57" s="775"/>
      <c r="C57" s="775"/>
      <c r="D57" s="185"/>
      <c r="E57" s="185"/>
      <c r="F57" s="367"/>
      <c r="G57" s="367"/>
      <c r="H57" s="367"/>
      <c r="I57" s="367"/>
      <c r="J57" s="367"/>
      <c r="K57" s="367"/>
      <c r="L57" s="185"/>
    </row>
    <row r="58" spans="1:13" x14ac:dyDescent="0.15">
      <c r="A58" s="185"/>
      <c r="B58" s="185"/>
      <c r="C58" s="185"/>
      <c r="D58" s="185"/>
      <c r="E58" s="185"/>
      <c r="F58" s="185"/>
      <c r="G58" s="185"/>
      <c r="H58" s="185"/>
      <c r="I58" s="185"/>
      <c r="J58" s="185"/>
      <c r="K58" s="185"/>
      <c r="L58" s="185"/>
    </row>
    <row r="59" spans="1:13" x14ac:dyDescent="0.15">
      <c r="A59" s="185"/>
      <c r="B59" s="185"/>
      <c r="C59" s="185"/>
      <c r="D59" s="185"/>
      <c r="E59" s="185"/>
      <c r="F59" s="185" t="s">
        <v>229</v>
      </c>
      <c r="G59" s="185"/>
      <c r="H59" s="185"/>
      <c r="I59" s="185"/>
      <c r="J59" s="185"/>
      <c r="K59" s="185"/>
      <c r="L59" s="185"/>
    </row>
    <row r="60" spans="1:13" x14ac:dyDescent="0.15">
      <c r="A60" s="185"/>
      <c r="B60" s="185"/>
      <c r="C60" s="185"/>
      <c r="D60" s="185"/>
      <c r="E60" s="185"/>
      <c r="F60" s="185"/>
      <c r="G60" s="185"/>
      <c r="H60" s="185"/>
      <c r="I60" s="185"/>
      <c r="J60" s="185"/>
      <c r="K60" s="185"/>
      <c r="L60" s="185"/>
    </row>
    <row r="61" spans="1:13" ht="14.25" x14ac:dyDescent="0.15">
      <c r="A61" s="185"/>
      <c r="B61" s="185"/>
      <c r="C61" s="185"/>
      <c r="D61" s="185"/>
      <c r="E61" s="185"/>
      <c r="F61" s="367"/>
      <c r="G61" s="367"/>
      <c r="H61" s="367"/>
      <c r="I61" s="367"/>
      <c r="J61" s="367"/>
      <c r="K61" s="368" t="s">
        <v>230</v>
      </c>
      <c r="L61" s="185"/>
    </row>
    <row r="62" spans="1:13" ht="14.25" thickBot="1" x14ac:dyDescent="0.2">
      <c r="A62" s="369"/>
      <c r="B62" s="369"/>
      <c r="C62" s="369"/>
      <c r="D62" s="369"/>
      <c r="E62" s="369"/>
      <c r="F62" s="369"/>
      <c r="G62" s="369"/>
      <c r="H62" s="369"/>
      <c r="I62" s="369"/>
      <c r="J62" s="369"/>
      <c r="K62" s="369"/>
      <c r="L62" s="369"/>
    </row>
    <row r="63" spans="1:13" x14ac:dyDescent="0.15">
      <c r="A63" s="763" t="s">
        <v>231</v>
      </c>
      <c r="B63" s="763"/>
      <c r="C63" s="763"/>
      <c r="D63" s="763"/>
      <c r="E63" s="763"/>
      <c r="F63" s="763"/>
      <c r="G63" s="763"/>
      <c r="H63" s="763"/>
      <c r="I63" s="763"/>
      <c r="J63" s="763"/>
      <c r="K63" s="763"/>
      <c r="L63" s="763"/>
    </row>
    <row r="64" spans="1:13" x14ac:dyDescent="0.15">
      <c r="A64" s="481"/>
      <c r="B64" s="481"/>
      <c r="C64" s="481"/>
      <c r="D64" s="481"/>
      <c r="E64" s="481"/>
      <c r="F64" s="481"/>
      <c r="G64" s="481"/>
      <c r="H64" s="481"/>
      <c r="I64" s="481"/>
      <c r="J64" s="481"/>
      <c r="K64" s="481"/>
      <c r="L64" s="481"/>
    </row>
    <row r="65" spans="1:12" x14ac:dyDescent="0.15">
      <c r="B65" s="506">
        <f>B2</f>
        <v>0</v>
      </c>
      <c r="C65" s="506"/>
      <c r="D65" s="506"/>
      <c r="E65" s="506"/>
      <c r="F65" s="506"/>
      <c r="I65" s="647"/>
      <c r="J65" s="647"/>
      <c r="K65" s="647"/>
      <c r="L65" s="647"/>
    </row>
    <row r="66" spans="1:12" x14ac:dyDescent="0.15">
      <c r="B66" s="772">
        <f>B3</f>
        <v>0</v>
      </c>
      <c r="C66" s="772"/>
      <c r="D66" s="772"/>
      <c r="E66" s="772"/>
      <c r="F66" s="772"/>
      <c r="G66" s="772"/>
      <c r="H66" s="773"/>
      <c r="I66" s="773"/>
      <c r="J66" s="773"/>
      <c r="K66" s="773"/>
      <c r="L66" s="773"/>
    </row>
    <row r="67" spans="1:12" x14ac:dyDescent="0.15">
      <c r="B67" s="772"/>
      <c r="C67" s="772"/>
      <c r="D67" s="772"/>
      <c r="E67" s="772"/>
      <c r="F67" s="772"/>
      <c r="G67" s="772"/>
      <c r="I67" s="774"/>
      <c r="J67" s="774"/>
      <c r="K67" s="774"/>
      <c r="L67" s="774"/>
    </row>
    <row r="68" spans="1:12" x14ac:dyDescent="0.15">
      <c r="B68" s="506"/>
      <c r="C68" s="506"/>
      <c r="D68" s="506"/>
      <c r="E68" s="506"/>
      <c r="F68" s="506"/>
      <c r="I68" s="647"/>
      <c r="J68" s="647"/>
      <c r="K68" s="647"/>
      <c r="L68" s="647"/>
    </row>
    <row r="69" spans="1:12" x14ac:dyDescent="0.15">
      <c r="B69" s="506"/>
      <c r="C69" s="506"/>
      <c r="D69" s="506"/>
      <c r="E69" s="506"/>
      <c r="F69" s="506"/>
      <c r="I69" s="647"/>
      <c r="J69" s="647"/>
      <c r="K69" s="647"/>
      <c r="L69" s="647"/>
    </row>
    <row r="70" spans="1:12" ht="17.25" x14ac:dyDescent="0.15">
      <c r="B70" s="370">
        <f>B7</f>
        <v>0</v>
      </c>
      <c r="C70" s="370"/>
      <c r="D70" s="370"/>
      <c r="E70" s="370"/>
      <c r="F70" s="132" t="s">
        <v>72</v>
      </c>
    </row>
    <row r="71" spans="1:12" x14ac:dyDescent="0.15">
      <c r="C71" s="507">
        <f>C8</f>
        <v>0</v>
      </c>
      <c r="D71" s="507"/>
      <c r="E71" s="507"/>
      <c r="F71" s="9"/>
    </row>
    <row r="72" spans="1:12" x14ac:dyDescent="0.15">
      <c r="B72" s="9"/>
      <c r="C72" s="9"/>
      <c r="D72" s="9"/>
      <c r="E72" s="9"/>
      <c r="F72" s="9"/>
    </row>
    <row r="73" spans="1:12" x14ac:dyDescent="0.15">
      <c r="B73" s="9"/>
      <c r="C73" s="9"/>
      <c r="D73" s="9"/>
      <c r="E73" s="9"/>
      <c r="F73" s="9"/>
    </row>
    <row r="74" spans="1:12" x14ac:dyDescent="0.15">
      <c r="B74" s="9"/>
      <c r="C74" s="9"/>
      <c r="D74" s="9"/>
      <c r="E74" s="9"/>
      <c r="F74" s="9"/>
    </row>
    <row r="75" spans="1:12" x14ac:dyDescent="0.15">
      <c r="A75" s="9"/>
      <c r="B75" s="9"/>
      <c r="C75" s="9"/>
      <c r="D75" s="9"/>
      <c r="E75" s="9"/>
      <c r="F75" s="9"/>
    </row>
    <row r="76" spans="1:12" x14ac:dyDescent="0.15">
      <c r="A76" s="764" t="s">
        <v>213</v>
      </c>
      <c r="B76" s="764"/>
      <c r="C76" s="764"/>
      <c r="D76" s="764"/>
      <c r="E76" s="764"/>
      <c r="F76" s="764"/>
      <c r="G76" s="764"/>
      <c r="H76" s="764"/>
      <c r="I76" s="764"/>
      <c r="J76" s="764"/>
      <c r="K76" s="764"/>
      <c r="L76" s="764"/>
    </row>
    <row r="77" spans="1:12" x14ac:dyDescent="0.15">
      <c r="A77" s="764" t="s">
        <v>214</v>
      </c>
      <c r="B77" s="764"/>
      <c r="C77" s="764"/>
      <c r="D77" s="764"/>
      <c r="E77" s="764"/>
      <c r="F77" s="764"/>
      <c r="G77" s="764"/>
      <c r="H77" s="764"/>
      <c r="I77" s="764"/>
      <c r="J77" s="764"/>
      <c r="K77" s="764"/>
      <c r="L77" s="764"/>
    </row>
    <row r="78" spans="1:12" x14ac:dyDescent="0.15">
      <c r="A78" s="764" t="s">
        <v>215</v>
      </c>
      <c r="B78" s="764"/>
      <c r="C78" s="764"/>
      <c r="D78" s="764"/>
      <c r="E78" s="764"/>
      <c r="F78" s="764"/>
      <c r="G78" s="764"/>
      <c r="H78" s="764"/>
      <c r="I78" s="764"/>
      <c r="J78" s="764"/>
      <c r="K78" s="764"/>
      <c r="L78" s="764"/>
    </row>
    <row r="79" spans="1:12" x14ac:dyDescent="0.15">
      <c r="A79" s="764" t="s">
        <v>216</v>
      </c>
      <c r="B79" s="764"/>
      <c r="C79" s="764"/>
      <c r="D79" s="764"/>
      <c r="E79" s="764"/>
      <c r="F79" s="764"/>
      <c r="G79" s="764"/>
      <c r="H79" s="764"/>
      <c r="I79" s="764"/>
      <c r="J79" s="764"/>
      <c r="K79" s="764"/>
      <c r="L79" s="764"/>
    </row>
    <row r="80" spans="1:12" x14ac:dyDescent="0.15">
      <c r="A80" s="764" t="s">
        <v>217</v>
      </c>
      <c r="B80" s="764"/>
      <c r="C80" s="764"/>
      <c r="D80" s="764"/>
      <c r="E80" s="764"/>
      <c r="F80" s="764"/>
      <c r="G80" s="764"/>
      <c r="H80" s="764"/>
      <c r="I80" s="764"/>
      <c r="J80" s="764"/>
      <c r="K80" s="764"/>
      <c r="L80" s="764"/>
    </row>
    <row r="81" spans="1:12" x14ac:dyDescent="0.15">
      <c r="A81" s="764" t="s">
        <v>218</v>
      </c>
      <c r="B81" s="764"/>
      <c r="C81" s="764"/>
      <c r="D81" s="764"/>
      <c r="E81" s="764"/>
      <c r="F81" s="764"/>
      <c r="G81" s="764"/>
      <c r="H81" s="764"/>
      <c r="I81" s="764"/>
      <c r="J81" s="764"/>
      <c r="K81" s="764"/>
      <c r="L81" s="764"/>
    </row>
    <row r="82" spans="1:12" x14ac:dyDescent="0.15">
      <c r="B82" s="187"/>
      <c r="C82" s="187"/>
      <c r="D82" s="187"/>
      <c r="E82" s="187"/>
      <c r="F82" s="187"/>
      <c r="G82" s="187"/>
      <c r="H82" s="187"/>
      <c r="I82" s="187"/>
      <c r="K82" s="214" t="s">
        <v>219</v>
      </c>
      <c r="L82" s="187"/>
    </row>
    <row r="85" spans="1:12" x14ac:dyDescent="0.15">
      <c r="I85" s="364" t="s">
        <v>220</v>
      </c>
      <c r="J85" s="765">
        <f>J22</f>
        <v>0</v>
      </c>
      <c r="K85" s="765"/>
      <c r="L85" s="765"/>
    </row>
    <row r="87" spans="1:12" ht="17.25" x14ac:dyDescent="0.15">
      <c r="A87" s="766" t="s">
        <v>221</v>
      </c>
      <c r="B87" s="766"/>
      <c r="C87" s="766"/>
      <c r="D87" s="766"/>
      <c r="E87" s="766"/>
      <c r="F87" s="766"/>
      <c r="G87" s="766"/>
      <c r="H87" s="766"/>
      <c r="I87" s="766"/>
      <c r="J87" s="766"/>
      <c r="K87" s="766"/>
      <c r="L87" s="766"/>
    </row>
    <row r="88" spans="1:12" ht="14.25" x14ac:dyDescent="0.15">
      <c r="A88" s="138"/>
      <c r="B88" s="138"/>
      <c r="C88" s="138"/>
      <c r="D88" s="138"/>
      <c r="E88" s="138"/>
      <c r="F88" s="138"/>
      <c r="G88" s="138"/>
      <c r="H88" s="138"/>
      <c r="I88" s="138"/>
      <c r="J88" s="138"/>
      <c r="K88" s="138"/>
      <c r="L88" s="138"/>
    </row>
    <row r="89" spans="1:12" ht="14.25" x14ac:dyDescent="0.15">
      <c r="A89" s="767" t="s">
        <v>222</v>
      </c>
      <c r="B89" s="767"/>
      <c r="C89" s="767"/>
      <c r="D89" s="767"/>
      <c r="E89" s="767"/>
      <c r="F89" s="767"/>
      <c r="G89" s="767"/>
      <c r="H89" s="767"/>
      <c r="I89" s="767"/>
      <c r="J89" s="767"/>
      <c r="K89" s="767"/>
      <c r="L89" s="767"/>
    </row>
    <row r="90" spans="1:12" ht="14.25" x14ac:dyDescent="0.15">
      <c r="A90" s="140"/>
      <c r="B90" s="140"/>
      <c r="C90" s="140"/>
      <c r="D90" s="16"/>
      <c r="E90" s="16"/>
      <c r="F90" s="365"/>
      <c r="G90" s="365"/>
      <c r="H90" s="365"/>
      <c r="I90" s="134"/>
      <c r="J90" s="134"/>
      <c r="K90" s="140"/>
      <c r="L90" s="140"/>
    </row>
    <row r="91" spans="1:12" ht="13.5" customHeight="1" x14ac:dyDescent="0.15">
      <c r="A91" s="201"/>
      <c r="B91" s="201"/>
      <c r="C91" s="201"/>
      <c r="D91" s="768" t="s">
        <v>223</v>
      </c>
      <c r="E91" s="769"/>
      <c r="F91" s="508">
        <f>F28</f>
        <v>0</v>
      </c>
      <c r="G91" s="508"/>
      <c r="H91" s="508"/>
      <c r="I91" s="201"/>
      <c r="J91" s="201"/>
      <c r="K91" s="201"/>
      <c r="L91" s="201"/>
    </row>
    <row r="92" spans="1:12" x14ac:dyDescent="0.15">
      <c r="A92" s="201"/>
      <c r="B92" s="201"/>
      <c r="C92" s="201"/>
      <c r="D92" s="366"/>
      <c r="E92" s="366"/>
      <c r="F92" s="202"/>
      <c r="G92" s="202"/>
      <c r="H92" s="202"/>
      <c r="I92" s="201"/>
      <c r="J92" s="201"/>
      <c r="K92" s="201"/>
      <c r="L92" s="201"/>
    </row>
    <row r="93" spans="1:12" ht="13.5" customHeight="1" x14ac:dyDescent="0.15">
      <c r="A93" s="201"/>
      <c r="B93" s="201"/>
      <c r="C93" s="201"/>
      <c r="D93" s="768" t="s">
        <v>224</v>
      </c>
      <c r="E93" s="769"/>
      <c r="F93" s="508">
        <f>F30</f>
        <v>0</v>
      </c>
      <c r="G93" s="508"/>
      <c r="H93" s="508"/>
      <c r="I93" s="201"/>
      <c r="J93" s="201"/>
      <c r="K93" s="201"/>
      <c r="L93" s="201"/>
    </row>
    <row r="94" spans="1:12" x14ac:dyDescent="0.15">
      <c r="A94" s="201"/>
      <c r="B94" s="201"/>
      <c r="C94" s="201"/>
      <c r="D94" s="366"/>
      <c r="E94" s="366"/>
      <c r="F94" s="202"/>
      <c r="G94" s="202"/>
      <c r="H94" s="202"/>
      <c r="I94" s="201"/>
      <c r="J94" s="201"/>
      <c r="K94" s="201"/>
      <c r="L94" s="201"/>
    </row>
    <row r="95" spans="1:12" ht="13.5" customHeight="1" x14ac:dyDescent="0.15">
      <c r="A95" s="201"/>
      <c r="B95" s="201"/>
      <c r="C95" s="201"/>
      <c r="D95" s="768" t="s">
        <v>225</v>
      </c>
      <c r="E95" s="769"/>
      <c r="F95" s="770">
        <f>F32</f>
        <v>0</v>
      </c>
      <c r="G95" s="770"/>
      <c r="H95" s="770"/>
      <c r="I95" s="201"/>
      <c r="J95" s="201"/>
      <c r="K95" s="201"/>
      <c r="L95" s="201"/>
    </row>
    <row r="96" spans="1:12" x14ac:dyDescent="0.15">
      <c r="A96" s="200"/>
      <c r="B96" s="200"/>
      <c r="C96" s="200"/>
      <c r="D96" s="200"/>
      <c r="E96" s="200"/>
      <c r="F96" s="200"/>
      <c r="G96" s="200"/>
      <c r="H96" s="200"/>
      <c r="I96" s="200"/>
      <c r="J96" s="200"/>
      <c r="K96" s="200"/>
      <c r="L96" s="200"/>
    </row>
    <row r="114" spans="1:12" x14ac:dyDescent="0.15">
      <c r="A114" s="185"/>
      <c r="B114" s="185"/>
      <c r="C114" s="185"/>
      <c r="D114" s="185"/>
      <c r="E114" s="185"/>
      <c r="F114" s="185"/>
      <c r="G114" s="185"/>
      <c r="H114" s="185"/>
      <c r="I114" s="185"/>
      <c r="J114" s="185"/>
      <c r="K114" s="185"/>
      <c r="L114" s="185"/>
    </row>
    <row r="115" spans="1:12" x14ac:dyDescent="0.15">
      <c r="A115" s="185"/>
      <c r="B115" s="185"/>
      <c r="C115" s="185"/>
      <c r="D115" s="185"/>
      <c r="E115" s="185"/>
      <c r="F115" s="185"/>
      <c r="G115" s="185"/>
      <c r="H115" s="185"/>
      <c r="I115" s="185"/>
      <c r="J115" s="185"/>
      <c r="K115" s="185"/>
      <c r="L115" s="185"/>
    </row>
    <row r="116" spans="1:12" x14ac:dyDescent="0.15">
      <c r="A116" s="185"/>
      <c r="B116" s="185"/>
      <c r="C116" s="185"/>
      <c r="D116" s="185"/>
      <c r="E116" s="185"/>
      <c r="F116" s="185"/>
      <c r="G116" s="185"/>
      <c r="H116" s="185"/>
      <c r="I116" s="185"/>
      <c r="J116" s="185"/>
      <c r="K116" s="185"/>
      <c r="L116" s="185"/>
    </row>
    <row r="117" spans="1:12" x14ac:dyDescent="0.15">
      <c r="A117" s="185"/>
      <c r="B117" s="185"/>
      <c r="C117" s="185"/>
      <c r="D117" s="185"/>
      <c r="E117" s="185"/>
      <c r="F117" s="185"/>
      <c r="G117" s="185"/>
      <c r="H117" s="185"/>
      <c r="I117" s="185"/>
      <c r="J117" s="185"/>
      <c r="K117" s="185"/>
      <c r="L117" s="185"/>
    </row>
    <row r="118" spans="1:12" x14ac:dyDescent="0.15">
      <c r="A118" s="185"/>
      <c r="B118" s="185"/>
      <c r="C118" s="185"/>
      <c r="D118" s="185"/>
      <c r="E118" s="185"/>
      <c r="F118" s="185"/>
      <c r="G118" s="185"/>
      <c r="H118" s="185"/>
      <c r="I118" s="185"/>
      <c r="J118" s="185"/>
      <c r="K118" s="185"/>
      <c r="L118" s="185"/>
    </row>
    <row r="119" spans="1:12" x14ac:dyDescent="0.15">
      <c r="A119" s="185"/>
      <c r="B119" s="185"/>
      <c r="C119" s="185"/>
      <c r="D119" s="185"/>
      <c r="E119" s="185"/>
      <c r="F119" s="185"/>
      <c r="G119" s="185"/>
      <c r="H119" s="185"/>
      <c r="I119" s="185"/>
      <c r="J119" s="185"/>
      <c r="K119" s="185"/>
      <c r="L119" s="185"/>
    </row>
    <row r="120" spans="1:12" x14ac:dyDescent="0.15">
      <c r="A120" s="771"/>
      <c r="B120" s="771"/>
      <c r="C120" s="771"/>
      <c r="D120" s="185"/>
      <c r="E120" s="185"/>
      <c r="F120" s="185"/>
      <c r="G120" s="185"/>
      <c r="H120" s="185"/>
      <c r="I120" s="185"/>
      <c r="J120" s="185"/>
      <c r="K120" s="185"/>
      <c r="L120" s="185"/>
    </row>
    <row r="121" spans="1:12" x14ac:dyDescent="0.15">
      <c r="A121" s="185"/>
      <c r="B121" s="185"/>
      <c r="C121" s="185"/>
      <c r="D121" s="185"/>
      <c r="E121" s="185"/>
      <c r="F121" s="185"/>
      <c r="G121" s="185"/>
      <c r="H121" s="185"/>
      <c r="I121" s="185"/>
      <c r="J121" s="185"/>
      <c r="K121" s="185"/>
      <c r="L121" s="185"/>
    </row>
    <row r="122" spans="1:12" x14ac:dyDescent="0.15">
      <c r="A122" s="185"/>
      <c r="B122" s="185"/>
      <c r="C122" s="185"/>
      <c r="D122" s="185"/>
      <c r="E122" s="185"/>
      <c r="F122" s="185"/>
      <c r="G122" s="185"/>
      <c r="H122" s="185"/>
      <c r="I122" s="185"/>
      <c r="J122" s="185"/>
      <c r="K122" s="185"/>
      <c r="L122" s="185"/>
    </row>
    <row r="123" spans="1:12" x14ac:dyDescent="0.15">
      <c r="A123" s="185"/>
      <c r="B123" s="185"/>
      <c r="C123" s="185"/>
      <c r="D123" s="185"/>
      <c r="E123" s="185"/>
      <c r="F123" s="185"/>
      <c r="G123" s="185"/>
      <c r="H123" s="185"/>
      <c r="I123" s="185"/>
      <c r="J123" s="185"/>
      <c r="K123" s="185"/>
      <c r="L123" s="185"/>
    </row>
    <row r="124" spans="1:12" ht="14.25" x14ac:dyDescent="0.15">
      <c r="A124" s="185"/>
      <c r="B124" s="185"/>
      <c r="C124" s="185"/>
      <c r="D124" s="185"/>
      <c r="E124" s="185"/>
      <c r="F124" s="185"/>
      <c r="G124" s="185"/>
      <c r="H124" s="185"/>
      <c r="I124" s="185"/>
      <c r="J124" s="185"/>
      <c r="K124" s="1"/>
      <c r="L124" s="185"/>
    </row>
    <row r="125" spans="1:12" ht="14.25" thickBot="1" x14ac:dyDescent="0.2">
      <c r="A125" s="369"/>
      <c r="B125" s="369"/>
      <c r="C125" s="369"/>
      <c r="D125" s="369"/>
      <c r="E125" s="369"/>
      <c r="F125" s="369"/>
      <c r="G125" s="369"/>
      <c r="H125" s="369"/>
      <c r="I125" s="369"/>
      <c r="J125" s="369"/>
      <c r="K125" s="369"/>
      <c r="L125" s="369"/>
    </row>
    <row r="126" spans="1:12" x14ac:dyDescent="0.15">
      <c r="A126" s="763" t="s">
        <v>232</v>
      </c>
      <c r="B126" s="763"/>
      <c r="C126" s="763"/>
      <c r="D126" s="763"/>
      <c r="E126" s="763"/>
      <c r="F126" s="763"/>
      <c r="G126" s="763"/>
      <c r="H126" s="763"/>
      <c r="I126" s="763"/>
      <c r="J126" s="763"/>
      <c r="K126" s="763"/>
      <c r="L126" s="763"/>
    </row>
  </sheetData>
  <mergeCells count="58">
    <mergeCell ref="A1:L1"/>
    <mergeCell ref="B2:F2"/>
    <mergeCell ref="I2:L2"/>
    <mergeCell ref="B3:G4"/>
    <mergeCell ref="H3:L3"/>
    <mergeCell ref="I4:L4"/>
    <mergeCell ref="A18:L18"/>
    <mergeCell ref="B5:F5"/>
    <mergeCell ref="I5:L5"/>
    <mergeCell ref="B6:F6"/>
    <mergeCell ref="I6:L6"/>
    <mergeCell ref="B7:E7"/>
    <mergeCell ref="C8:E8"/>
    <mergeCell ref="A13:L13"/>
    <mergeCell ref="A14:L14"/>
    <mergeCell ref="A15:L15"/>
    <mergeCell ref="A16:L16"/>
    <mergeCell ref="A17:L17"/>
    <mergeCell ref="B65:F65"/>
    <mergeCell ref="I65:L65"/>
    <mergeCell ref="J22:L22"/>
    <mergeCell ref="A24:L24"/>
    <mergeCell ref="A26:L26"/>
    <mergeCell ref="D28:E28"/>
    <mergeCell ref="F28:H28"/>
    <mergeCell ref="D30:E30"/>
    <mergeCell ref="F30:H30"/>
    <mergeCell ref="D32:E32"/>
    <mergeCell ref="F32:H32"/>
    <mergeCell ref="A57:C57"/>
    <mergeCell ref="A63:L63"/>
    <mergeCell ref="A64:L64"/>
    <mergeCell ref="A79:L79"/>
    <mergeCell ref="B66:G67"/>
    <mergeCell ref="H66:L66"/>
    <mergeCell ref="I67:L67"/>
    <mergeCell ref="B68:F68"/>
    <mergeCell ref="I68:L68"/>
    <mergeCell ref="B69:F69"/>
    <mergeCell ref="I69:L69"/>
    <mergeCell ref="B70:E70"/>
    <mergeCell ref="C71:E71"/>
    <mergeCell ref="A76:L76"/>
    <mergeCell ref="A77:L77"/>
    <mergeCell ref="A78:L78"/>
    <mergeCell ref="A126:L126"/>
    <mergeCell ref="A80:L80"/>
    <mergeCell ref="A81:L81"/>
    <mergeCell ref="J85:L85"/>
    <mergeCell ref="A87:L87"/>
    <mergeCell ref="A89:L89"/>
    <mergeCell ref="D91:E91"/>
    <mergeCell ref="F91:H91"/>
    <mergeCell ref="D93:E93"/>
    <mergeCell ref="F93:H93"/>
    <mergeCell ref="D95:E95"/>
    <mergeCell ref="F95:H95"/>
    <mergeCell ref="A120:C120"/>
  </mergeCells>
  <phoneticPr fontId="3"/>
  <pageMargins left="0.39370078740157483" right="0.39370078740157483" top="0.6" bottom="0.19685039370078741" header="0.51181102362204722" footer="0.51181102362204722"/>
  <pageSetup paperSize="9"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73C9A-D809-4D3F-82EA-6F5A44675E73}">
  <sheetPr codeName="Sheet19"/>
  <dimension ref="A1:L126"/>
  <sheetViews>
    <sheetView zoomScaleNormal="100" workbookViewId="0">
      <selection activeCell="S23" sqref="S23"/>
    </sheetView>
  </sheetViews>
  <sheetFormatPr defaultRowHeight="13.5" x14ac:dyDescent="0.15"/>
  <cols>
    <col min="1" max="1" width="9.125" style="3" customWidth="1"/>
    <col min="2" max="12" width="7.625" style="3" customWidth="1"/>
    <col min="257" max="257" width="9.125" customWidth="1"/>
    <col min="258" max="268" width="7.625" customWidth="1"/>
    <col min="513" max="513" width="9.125" customWidth="1"/>
    <col min="514" max="524" width="7.625" customWidth="1"/>
    <col min="769" max="769" width="9.125" customWidth="1"/>
    <col min="770" max="780" width="7.625" customWidth="1"/>
    <col min="1025" max="1025" width="9.125" customWidth="1"/>
    <col min="1026" max="1036" width="7.625" customWidth="1"/>
    <col min="1281" max="1281" width="9.125" customWidth="1"/>
    <col min="1282" max="1292" width="7.625" customWidth="1"/>
    <col min="1537" max="1537" width="9.125" customWidth="1"/>
    <col min="1538" max="1548" width="7.625" customWidth="1"/>
    <col min="1793" max="1793" width="9.125" customWidth="1"/>
    <col min="1794" max="1804" width="7.625" customWidth="1"/>
    <col min="2049" max="2049" width="9.125" customWidth="1"/>
    <col min="2050" max="2060" width="7.625" customWidth="1"/>
    <col min="2305" max="2305" width="9.125" customWidth="1"/>
    <col min="2306" max="2316" width="7.625" customWidth="1"/>
    <col min="2561" max="2561" width="9.125" customWidth="1"/>
    <col min="2562" max="2572" width="7.625" customWidth="1"/>
    <col min="2817" max="2817" width="9.125" customWidth="1"/>
    <col min="2818" max="2828" width="7.625" customWidth="1"/>
    <col min="3073" max="3073" width="9.125" customWidth="1"/>
    <col min="3074" max="3084" width="7.625" customWidth="1"/>
    <col min="3329" max="3329" width="9.125" customWidth="1"/>
    <col min="3330" max="3340" width="7.625" customWidth="1"/>
    <col min="3585" max="3585" width="9.125" customWidth="1"/>
    <col min="3586" max="3596" width="7.625" customWidth="1"/>
    <col min="3841" max="3841" width="9.125" customWidth="1"/>
    <col min="3842" max="3852" width="7.625" customWidth="1"/>
    <col min="4097" max="4097" width="9.125" customWidth="1"/>
    <col min="4098" max="4108" width="7.625" customWidth="1"/>
    <col min="4353" max="4353" width="9.125" customWidth="1"/>
    <col min="4354" max="4364" width="7.625" customWidth="1"/>
    <col min="4609" max="4609" width="9.125" customWidth="1"/>
    <col min="4610" max="4620" width="7.625" customWidth="1"/>
    <col min="4865" max="4865" width="9.125" customWidth="1"/>
    <col min="4866" max="4876" width="7.625" customWidth="1"/>
    <col min="5121" max="5121" width="9.125" customWidth="1"/>
    <col min="5122" max="5132" width="7.625" customWidth="1"/>
    <col min="5377" max="5377" width="9.125" customWidth="1"/>
    <col min="5378" max="5388" width="7.625" customWidth="1"/>
    <col min="5633" max="5633" width="9.125" customWidth="1"/>
    <col min="5634" max="5644" width="7.625" customWidth="1"/>
    <col min="5889" max="5889" width="9.125" customWidth="1"/>
    <col min="5890" max="5900" width="7.625" customWidth="1"/>
    <col min="6145" max="6145" width="9.125" customWidth="1"/>
    <col min="6146" max="6156" width="7.625" customWidth="1"/>
    <col min="6401" max="6401" width="9.125" customWidth="1"/>
    <col min="6402" max="6412" width="7.625" customWidth="1"/>
    <col min="6657" max="6657" width="9.125" customWidth="1"/>
    <col min="6658" max="6668" width="7.625" customWidth="1"/>
    <col min="6913" max="6913" width="9.125" customWidth="1"/>
    <col min="6914" max="6924" width="7.625" customWidth="1"/>
    <col min="7169" max="7169" width="9.125" customWidth="1"/>
    <col min="7170" max="7180" width="7.625" customWidth="1"/>
    <col min="7425" max="7425" width="9.125" customWidth="1"/>
    <col min="7426" max="7436" width="7.625" customWidth="1"/>
    <col min="7681" max="7681" width="9.125" customWidth="1"/>
    <col min="7682" max="7692" width="7.625" customWidth="1"/>
    <col min="7937" max="7937" width="9.125" customWidth="1"/>
    <col min="7938" max="7948" width="7.625" customWidth="1"/>
    <col min="8193" max="8193" width="9.125" customWidth="1"/>
    <col min="8194" max="8204" width="7.625" customWidth="1"/>
    <col min="8449" max="8449" width="9.125" customWidth="1"/>
    <col min="8450" max="8460" width="7.625" customWidth="1"/>
    <col min="8705" max="8705" width="9.125" customWidth="1"/>
    <col min="8706" max="8716" width="7.625" customWidth="1"/>
    <col min="8961" max="8961" width="9.125" customWidth="1"/>
    <col min="8962" max="8972" width="7.625" customWidth="1"/>
    <col min="9217" max="9217" width="9.125" customWidth="1"/>
    <col min="9218" max="9228" width="7.625" customWidth="1"/>
    <col min="9473" max="9473" width="9.125" customWidth="1"/>
    <col min="9474" max="9484" width="7.625" customWidth="1"/>
    <col min="9729" max="9729" width="9.125" customWidth="1"/>
    <col min="9730" max="9740" width="7.625" customWidth="1"/>
    <col min="9985" max="9985" width="9.125" customWidth="1"/>
    <col min="9986" max="9996" width="7.625" customWidth="1"/>
    <col min="10241" max="10241" width="9.125" customWidth="1"/>
    <col min="10242" max="10252" width="7.625" customWidth="1"/>
    <col min="10497" max="10497" width="9.125" customWidth="1"/>
    <col min="10498" max="10508" width="7.625" customWidth="1"/>
    <col min="10753" max="10753" width="9.125" customWidth="1"/>
    <col min="10754" max="10764" width="7.625" customWidth="1"/>
    <col min="11009" max="11009" width="9.125" customWidth="1"/>
    <col min="11010" max="11020" width="7.625" customWidth="1"/>
    <col min="11265" max="11265" width="9.125" customWidth="1"/>
    <col min="11266" max="11276" width="7.625" customWidth="1"/>
    <col min="11521" max="11521" width="9.125" customWidth="1"/>
    <col min="11522" max="11532" width="7.625" customWidth="1"/>
    <col min="11777" max="11777" width="9.125" customWidth="1"/>
    <col min="11778" max="11788" width="7.625" customWidth="1"/>
    <col min="12033" max="12033" width="9.125" customWidth="1"/>
    <col min="12034" max="12044" width="7.625" customWidth="1"/>
    <col min="12289" max="12289" width="9.125" customWidth="1"/>
    <col min="12290" max="12300" width="7.625" customWidth="1"/>
    <col min="12545" max="12545" width="9.125" customWidth="1"/>
    <col min="12546" max="12556" width="7.625" customWidth="1"/>
    <col min="12801" max="12801" width="9.125" customWidth="1"/>
    <col min="12802" max="12812" width="7.625" customWidth="1"/>
    <col min="13057" max="13057" width="9.125" customWidth="1"/>
    <col min="13058" max="13068" width="7.625" customWidth="1"/>
    <col min="13313" max="13313" width="9.125" customWidth="1"/>
    <col min="13314" max="13324" width="7.625" customWidth="1"/>
    <col min="13569" max="13569" width="9.125" customWidth="1"/>
    <col min="13570" max="13580" width="7.625" customWidth="1"/>
    <col min="13825" max="13825" width="9.125" customWidth="1"/>
    <col min="13826" max="13836" width="7.625" customWidth="1"/>
    <col min="14081" max="14081" width="9.125" customWidth="1"/>
    <col min="14082" max="14092" width="7.625" customWidth="1"/>
    <col min="14337" max="14337" width="9.125" customWidth="1"/>
    <col min="14338" max="14348" width="7.625" customWidth="1"/>
    <col min="14593" max="14593" width="9.125" customWidth="1"/>
    <col min="14594" max="14604" width="7.625" customWidth="1"/>
    <col min="14849" max="14849" width="9.125" customWidth="1"/>
    <col min="14850" max="14860" width="7.625" customWidth="1"/>
    <col min="15105" max="15105" width="9.125" customWidth="1"/>
    <col min="15106" max="15116" width="7.625" customWidth="1"/>
    <col min="15361" max="15361" width="9.125" customWidth="1"/>
    <col min="15362" max="15372" width="7.625" customWidth="1"/>
    <col min="15617" max="15617" width="9.125" customWidth="1"/>
    <col min="15618" max="15628" width="7.625" customWidth="1"/>
    <col min="15873" max="15873" width="9.125" customWidth="1"/>
    <col min="15874" max="15884" width="7.625" customWidth="1"/>
    <col min="16129" max="16129" width="9.125" customWidth="1"/>
    <col min="16130" max="16140" width="7.625" customWidth="1"/>
  </cols>
  <sheetData>
    <row r="1" spans="1:12" ht="13.5" customHeight="1" x14ac:dyDescent="0.15">
      <c r="A1" s="481" t="s">
        <v>137</v>
      </c>
      <c r="B1" s="481"/>
      <c r="C1" s="481"/>
      <c r="D1" s="481"/>
      <c r="E1" s="481"/>
      <c r="F1" s="481"/>
      <c r="G1" s="481"/>
      <c r="H1" s="481"/>
      <c r="I1" s="481"/>
      <c r="J1" s="481"/>
      <c r="K1" s="481"/>
      <c r="L1" s="481"/>
    </row>
    <row r="2" spans="1:12" ht="13.5" customHeight="1" x14ac:dyDescent="0.15">
      <c r="B2" s="506"/>
      <c r="C2" s="506"/>
      <c r="D2" s="506"/>
      <c r="E2" s="506"/>
      <c r="F2" s="506"/>
      <c r="I2" s="647"/>
      <c r="J2" s="647"/>
      <c r="K2" s="647"/>
      <c r="L2" s="647"/>
    </row>
    <row r="3" spans="1:12" ht="13.5" customHeight="1" x14ac:dyDescent="0.15">
      <c r="B3" s="506"/>
      <c r="C3" s="506"/>
      <c r="D3" s="506"/>
      <c r="E3" s="506"/>
      <c r="F3" s="506"/>
      <c r="H3" s="773"/>
      <c r="I3" s="773"/>
      <c r="J3" s="773"/>
      <c r="K3" s="773"/>
      <c r="L3" s="773"/>
    </row>
    <row r="4" spans="1:12" ht="13.5" customHeight="1" x14ac:dyDescent="0.15">
      <c r="B4" s="506"/>
      <c r="C4" s="506"/>
      <c r="D4" s="506"/>
      <c r="E4" s="506"/>
      <c r="F4" s="506"/>
      <c r="I4" s="774"/>
      <c r="J4" s="774"/>
      <c r="K4" s="774"/>
      <c r="L4" s="774"/>
    </row>
    <row r="5" spans="1:12" ht="13.5" customHeight="1" x14ac:dyDescent="0.15">
      <c r="B5" s="506"/>
      <c r="C5" s="506"/>
      <c r="D5" s="506"/>
      <c r="E5" s="506"/>
      <c r="F5" s="506"/>
      <c r="I5" s="647"/>
      <c r="J5" s="647"/>
      <c r="K5" s="647"/>
      <c r="L5" s="647"/>
    </row>
    <row r="6" spans="1:12" ht="13.5" customHeight="1" x14ac:dyDescent="0.15">
      <c r="B6" s="506"/>
      <c r="C6" s="506"/>
      <c r="D6" s="506"/>
      <c r="E6" s="506"/>
      <c r="F6" s="506"/>
      <c r="I6" s="647"/>
      <c r="J6" s="647"/>
      <c r="K6" s="647"/>
      <c r="L6" s="647"/>
    </row>
    <row r="7" spans="1:12" ht="18.75" customHeight="1" x14ac:dyDescent="0.15">
      <c r="B7" s="370"/>
      <c r="C7" s="370"/>
      <c r="D7" s="370"/>
      <c r="E7" s="370"/>
      <c r="F7" s="132" t="s">
        <v>72</v>
      </c>
    </row>
    <row r="8" spans="1:12" x14ac:dyDescent="0.15">
      <c r="C8" s="507"/>
      <c r="D8" s="507"/>
      <c r="E8" s="507"/>
      <c r="F8" s="9"/>
    </row>
    <row r="9" spans="1:12" x14ac:dyDescent="0.15">
      <c r="B9" s="9"/>
      <c r="C9" s="9"/>
      <c r="D9" s="9"/>
      <c r="E9" s="9"/>
      <c r="F9" s="9"/>
    </row>
    <row r="10" spans="1:12" x14ac:dyDescent="0.15">
      <c r="B10" s="9"/>
      <c r="C10" s="9"/>
      <c r="D10" s="9"/>
      <c r="E10" s="9"/>
      <c r="F10" s="9"/>
    </row>
    <row r="11" spans="1:12" x14ac:dyDescent="0.15">
      <c r="B11" s="9"/>
      <c r="C11" s="9"/>
      <c r="D11" s="9"/>
      <c r="E11" s="9"/>
      <c r="F11" s="9"/>
    </row>
    <row r="12" spans="1:12" x14ac:dyDescent="0.15">
      <c r="A12" s="9"/>
      <c r="B12" s="9"/>
      <c r="C12" s="9"/>
      <c r="D12" s="9"/>
      <c r="E12" s="9"/>
      <c r="F12" s="9"/>
    </row>
    <row r="13" spans="1:12" x14ac:dyDescent="0.15">
      <c r="A13" s="764" t="s">
        <v>213</v>
      </c>
      <c r="B13" s="764"/>
      <c r="C13" s="764"/>
      <c r="D13" s="764"/>
      <c r="E13" s="764"/>
      <c r="F13" s="764"/>
      <c r="G13" s="764"/>
      <c r="H13" s="764"/>
      <c r="I13" s="764"/>
      <c r="J13" s="764"/>
      <c r="K13" s="764"/>
      <c r="L13" s="764"/>
    </row>
    <row r="14" spans="1:12" x14ac:dyDescent="0.15">
      <c r="A14" s="764" t="s">
        <v>214</v>
      </c>
      <c r="B14" s="764"/>
      <c r="C14" s="764"/>
      <c r="D14" s="764"/>
      <c r="E14" s="764"/>
      <c r="F14" s="764"/>
      <c r="G14" s="764"/>
      <c r="H14" s="764"/>
      <c r="I14" s="764"/>
      <c r="J14" s="764"/>
      <c r="K14" s="764"/>
      <c r="L14" s="764"/>
    </row>
    <row r="15" spans="1:12" x14ac:dyDescent="0.15">
      <c r="A15" s="764" t="s">
        <v>233</v>
      </c>
      <c r="B15" s="764"/>
      <c r="C15" s="764"/>
      <c r="D15" s="764"/>
      <c r="E15" s="764"/>
      <c r="F15" s="764"/>
      <c r="G15" s="764"/>
      <c r="H15" s="764"/>
      <c r="I15" s="764"/>
      <c r="J15" s="764"/>
      <c r="K15" s="764"/>
      <c r="L15" s="764"/>
    </row>
    <row r="16" spans="1:12" x14ac:dyDescent="0.15">
      <c r="A16" s="764" t="s">
        <v>234</v>
      </c>
      <c r="B16" s="764"/>
      <c r="C16" s="764"/>
      <c r="D16" s="764"/>
      <c r="E16" s="764"/>
      <c r="F16" s="764"/>
      <c r="G16" s="764"/>
      <c r="H16" s="764"/>
      <c r="I16" s="764"/>
      <c r="J16" s="764"/>
      <c r="K16" s="764"/>
      <c r="L16" s="764"/>
    </row>
    <row r="17" spans="1:12" x14ac:dyDescent="0.15">
      <c r="A17" s="764" t="s">
        <v>235</v>
      </c>
      <c r="B17" s="764"/>
      <c r="C17" s="764"/>
      <c r="D17" s="764"/>
      <c r="E17" s="764"/>
      <c r="F17" s="764"/>
      <c r="G17" s="764"/>
      <c r="H17" s="764"/>
      <c r="I17" s="764"/>
      <c r="J17" s="764"/>
      <c r="K17" s="764"/>
      <c r="L17" s="764"/>
    </row>
    <row r="18" spans="1:12" x14ac:dyDescent="0.15">
      <c r="A18" s="764" t="s">
        <v>236</v>
      </c>
      <c r="B18" s="764"/>
      <c r="C18" s="764"/>
      <c r="D18" s="764"/>
      <c r="E18" s="764"/>
      <c r="F18" s="764"/>
      <c r="G18" s="764"/>
      <c r="H18" s="764"/>
      <c r="I18" s="764"/>
      <c r="J18" s="764"/>
      <c r="K18" s="764"/>
      <c r="L18" s="764"/>
    </row>
    <row r="19" spans="1:12" x14ac:dyDescent="0.15">
      <c r="B19" s="187"/>
      <c r="C19" s="187"/>
      <c r="D19" s="187"/>
      <c r="E19" s="187"/>
      <c r="F19" s="187"/>
      <c r="G19" s="187"/>
      <c r="H19" s="187"/>
      <c r="I19" s="187"/>
      <c r="K19" s="214" t="s">
        <v>219</v>
      </c>
      <c r="L19" s="187"/>
    </row>
    <row r="22" spans="1:12" x14ac:dyDescent="0.15">
      <c r="I22" s="364" t="s">
        <v>220</v>
      </c>
      <c r="J22" s="778"/>
      <c r="K22" s="778"/>
      <c r="L22" s="778"/>
    </row>
    <row r="23" spans="1:12" ht="14.25" customHeight="1" x14ac:dyDescent="0.15"/>
    <row r="24" spans="1:12" ht="17.25" x14ac:dyDescent="0.15">
      <c r="A24" s="777" t="s">
        <v>221</v>
      </c>
      <c r="B24" s="777"/>
      <c r="C24" s="777"/>
      <c r="D24" s="777"/>
      <c r="E24" s="777"/>
      <c r="F24" s="777"/>
      <c r="G24" s="777"/>
      <c r="H24" s="777"/>
      <c r="I24" s="777"/>
      <c r="J24" s="777"/>
      <c r="K24" s="777"/>
      <c r="L24" s="777"/>
    </row>
    <row r="25" spans="1:12" ht="14.25" x14ac:dyDescent="0.15">
      <c r="A25" s="138"/>
      <c r="B25" s="138"/>
      <c r="C25" s="138"/>
      <c r="D25" s="138"/>
      <c r="E25" s="138"/>
      <c r="F25" s="138"/>
      <c r="G25" s="138"/>
      <c r="H25" s="138"/>
      <c r="I25" s="138"/>
      <c r="J25" s="138"/>
      <c r="K25" s="138"/>
      <c r="L25" s="138"/>
    </row>
    <row r="26" spans="1:12" s="140" customFormat="1" ht="13.5" customHeight="1" x14ac:dyDescent="0.15">
      <c r="A26" s="776" t="s">
        <v>222</v>
      </c>
      <c r="B26" s="776"/>
      <c r="C26" s="776"/>
      <c r="D26" s="776"/>
      <c r="E26" s="776"/>
      <c r="F26" s="776"/>
      <c r="G26" s="776"/>
      <c r="H26" s="776"/>
      <c r="I26" s="776"/>
      <c r="J26" s="776"/>
      <c r="K26" s="776"/>
      <c r="L26" s="776"/>
    </row>
    <row r="27" spans="1:12" s="140" customFormat="1" ht="13.5" customHeight="1" x14ac:dyDescent="0.15">
      <c r="D27" s="16"/>
      <c r="E27" s="16"/>
      <c r="F27" s="365"/>
      <c r="G27" s="365"/>
      <c r="H27" s="365"/>
      <c r="I27" s="134"/>
      <c r="J27" s="134"/>
    </row>
    <row r="28" spans="1:12" s="140" customFormat="1" ht="13.5" customHeight="1" x14ac:dyDescent="0.15">
      <c r="A28" s="201"/>
      <c r="B28" s="201"/>
      <c r="C28" s="201"/>
      <c r="D28" s="776" t="s">
        <v>237</v>
      </c>
      <c r="E28" s="776"/>
      <c r="F28" s="776"/>
      <c r="G28" s="776"/>
      <c r="H28" s="776"/>
      <c r="I28" s="201"/>
      <c r="J28" s="201"/>
      <c r="K28" s="201"/>
      <c r="L28" s="201"/>
    </row>
    <row r="29" spans="1:12" x14ac:dyDescent="0.15">
      <c r="A29" s="201"/>
      <c r="B29" s="201"/>
      <c r="C29" s="201"/>
      <c r="D29" s="201"/>
      <c r="E29" s="201"/>
      <c r="F29" s="201"/>
      <c r="G29" s="201"/>
      <c r="H29" s="201"/>
      <c r="I29" s="201"/>
      <c r="J29" s="201"/>
      <c r="K29" s="201"/>
      <c r="L29" s="201"/>
    </row>
    <row r="30" spans="1:12" x14ac:dyDescent="0.15">
      <c r="A30" s="201"/>
      <c r="B30" s="201"/>
      <c r="C30" s="201"/>
      <c r="D30" s="776" t="s">
        <v>238</v>
      </c>
      <c r="E30" s="776"/>
      <c r="F30" s="776"/>
      <c r="G30" s="776"/>
      <c r="H30" s="776"/>
      <c r="I30" s="201"/>
      <c r="J30" s="201"/>
      <c r="K30" s="201"/>
      <c r="L30" s="201"/>
    </row>
    <row r="31" spans="1:12" x14ac:dyDescent="0.15">
      <c r="A31" s="201"/>
      <c r="B31" s="201"/>
      <c r="C31" s="201"/>
      <c r="D31" s="201"/>
      <c r="E31" s="201"/>
      <c r="F31" s="201"/>
      <c r="G31" s="201"/>
      <c r="H31" s="201"/>
      <c r="I31" s="201"/>
      <c r="J31" s="201"/>
      <c r="K31" s="201"/>
      <c r="L31" s="201"/>
    </row>
    <row r="32" spans="1:12" x14ac:dyDescent="0.15">
      <c r="A32" s="201"/>
      <c r="B32" s="201"/>
      <c r="C32" s="201"/>
      <c r="D32" s="776" t="s">
        <v>239</v>
      </c>
      <c r="E32" s="776"/>
      <c r="F32" s="776"/>
      <c r="G32" s="776"/>
      <c r="H32" s="776"/>
      <c r="I32" s="201"/>
      <c r="J32" s="201"/>
      <c r="K32" s="201"/>
      <c r="L32" s="201"/>
    </row>
    <row r="33" spans="1:12" x14ac:dyDescent="0.15">
      <c r="A33" s="200"/>
      <c r="B33" s="200"/>
      <c r="C33" s="200"/>
      <c r="D33" s="200"/>
      <c r="E33" s="200"/>
      <c r="F33" s="200"/>
      <c r="G33" s="200"/>
      <c r="H33" s="200"/>
      <c r="I33" s="200"/>
      <c r="J33" s="200"/>
      <c r="K33" s="200"/>
      <c r="L33" s="200"/>
    </row>
    <row r="34" spans="1:12" x14ac:dyDescent="0.15">
      <c r="A34" s="200"/>
      <c r="B34" s="200"/>
      <c r="C34" s="200"/>
      <c r="D34" s="200"/>
      <c r="E34" s="200"/>
      <c r="F34" s="200"/>
      <c r="G34" s="200"/>
      <c r="H34" s="200"/>
      <c r="I34" s="200"/>
      <c r="J34" s="200"/>
      <c r="K34" s="200"/>
      <c r="L34" s="200"/>
    </row>
    <row r="35" spans="1:12" x14ac:dyDescent="0.15">
      <c r="A35" s="200"/>
      <c r="B35" s="200"/>
      <c r="C35" s="200"/>
      <c r="D35" s="200"/>
      <c r="E35" s="200"/>
      <c r="F35" s="200"/>
      <c r="G35" s="200"/>
      <c r="H35" s="200"/>
      <c r="I35" s="200"/>
      <c r="J35" s="200"/>
      <c r="K35" s="200"/>
      <c r="L35" s="200"/>
    </row>
    <row r="36" spans="1:12" x14ac:dyDescent="0.15">
      <c r="A36" s="200"/>
      <c r="B36" s="200"/>
      <c r="C36" s="200"/>
      <c r="D36" s="200"/>
      <c r="E36" s="200"/>
      <c r="F36" s="200"/>
      <c r="G36" s="200"/>
      <c r="H36" s="200"/>
      <c r="I36" s="200"/>
      <c r="J36" s="200"/>
      <c r="K36" s="200"/>
      <c r="L36" s="200"/>
    </row>
    <row r="51" spans="1:12" x14ac:dyDescent="0.15">
      <c r="A51" s="185"/>
      <c r="C51" s="185"/>
      <c r="D51" s="185"/>
      <c r="E51" s="185"/>
      <c r="F51" s="185"/>
      <c r="G51" s="185"/>
      <c r="H51" s="185"/>
      <c r="I51" s="185"/>
      <c r="J51" s="185"/>
      <c r="K51" s="185"/>
      <c r="L51" s="185"/>
    </row>
    <row r="52" spans="1:12" x14ac:dyDescent="0.15">
      <c r="A52" s="185"/>
      <c r="B52" s="185"/>
      <c r="C52" s="185"/>
      <c r="D52" s="185"/>
      <c r="E52" s="185"/>
      <c r="F52" s="185"/>
      <c r="G52" s="185"/>
      <c r="H52" s="185"/>
      <c r="I52" s="185"/>
      <c r="J52" s="185"/>
      <c r="K52" s="185"/>
      <c r="L52" s="185"/>
    </row>
    <row r="53" spans="1:12" x14ac:dyDescent="0.15">
      <c r="A53" s="185" t="s">
        <v>240</v>
      </c>
      <c r="D53" s="185"/>
      <c r="E53" s="185"/>
      <c r="H53" s="185"/>
      <c r="I53" s="185"/>
      <c r="J53" s="185"/>
      <c r="K53" s="185"/>
      <c r="L53" s="185"/>
    </row>
    <row r="54" spans="1:12" x14ac:dyDescent="0.15">
      <c r="A54" s="185"/>
      <c r="B54" s="185"/>
      <c r="C54" s="185"/>
      <c r="D54" s="185"/>
      <c r="E54" s="185"/>
      <c r="F54" s="185"/>
      <c r="G54" s="185"/>
      <c r="H54" s="185"/>
      <c r="I54" s="185"/>
      <c r="J54" s="185"/>
      <c r="K54" s="185"/>
      <c r="L54" s="185"/>
    </row>
    <row r="55" spans="1:12" x14ac:dyDescent="0.15">
      <c r="A55" s="185" t="s">
        <v>226</v>
      </c>
      <c r="B55" s="185"/>
      <c r="C55" s="185"/>
      <c r="D55" s="185"/>
      <c r="E55" s="185"/>
      <c r="F55" s="185" t="s">
        <v>227</v>
      </c>
      <c r="G55" s="185"/>
      <c r="H55" s="185"/>
      <c r="I55" s="185"/>
      <c r="J55" s="185"/>
      <c r="K55" s="185"/>
      <c r="L55" s="185"/>
    </row>
    <row r="56" spans="1:12" x14ac:dyDescent="0.15">
      <c r="A56" s="185"/>
      <c r="B56" s="185"/>
      <c r="C56" s="185"/>
      <c r="D56" s="185"/>
      <c r="E56" s="185"/>
      <c r="F56" s="185"/>
      <c r="G56" s="185"/>
      <c r="H56" s="185"/>
      <c r="I56" s="185"/>
      <c r="J56" s="185"/>
      <c r="K56" s="185"/>
      <c r="L56" s="185"/>
    </row>
    <row r="57" spans="1:12" x14ac:dyDescent="0.15">
      <c r="A57" s="775" t="s">
        <v>228</v>
      </c>
      <c r="B57" s="775"/>
      <c r="C57" s="775"/>
      <c r="D57" s="185"/>
      <c r="E57" s="185"/>
      <c r="F57" s="367"/>
      <c r="G57" s="367"/>
      <c r="H57" s="367"/>
      <c r="I57" s="367"/>
      <c r="J57" s="367"/>
      <c r="K57" s="367"/>
      <c r="L57" s="185"/>
    </row>
    <row r="58" spans="1:12" x14ac:dyDescent="0.15">
      <c r="A58" s="185"/>
      <c r="B58" s="185"/>
      <c r="C58" s="185"/>
      <c r="D58" s="185"/>
      <c r="E58" s="185"/>
      <c r="F58" s="185"/>
      <c r="G58" s="185"/>
      <c r="H58" s="185"/>
      <c r="I58" s="185"/>
      <c r="J58" s="185"/>
      <c r="K58" s="185"/>
      <c r="L58" s="185"/>
    </row>
    <row r="59" spans="1:12" x14ac:dyDescent="0.15">
      <c r="A59" s="185"/>
      <c r="B59" s="185"/>
      <c r="C59" s="185"/>
      <c r="D59" s="185"/>
      <c r="E59" s="185"/>
      <c r="F59" s="185" t="s">
        <v>229</v>
      </c>
      <c r="G59" s="185"/>
      <c r="H59" s="185"/>
      <c r="I59" s="185"/>
      <c r="J59" s="185"/>
      <c r="K59" s="185"/>
      <c r="L59" s="185"/>
    </row>
    <row r="60" spans="1:12" x14ac:dyDescent="0.15">
      <c r="A60" s="185"/>
      <c r="B60" s="185"/>
      <c r="C60" s="185"/>
      <c r="D60" s="185"/>
      <c r="E60" s="185"/>
      <c r="F60" s="185"/>
      <c r="G60" s="185"/>
      <c r="H60" s="185"/>
      <c r="I60" s="185"/>
      <c r="J60" s="185"/>
      <c r="K60" s="185"/>
      <c r="L60" s="185"/>
    </row>
    <row r="61" spans="1:12" ht="14.25" x14ac:dyDescent="0.15">
      <c r="A61" s="185"/>
      <c r="B61" s="185"/>
      <c r="C61" s="185"/>
      <c r="D61" s="185"/>
      <c r="E61" s="185"/>
      <c r="F61" s="367"/>
      <c r="G61" s="367"/>
      <c r="H61" s="367"/>
      <c r="I61" s="367"/>
      <c r="J61" s="367"/>
      <c r="K61" s="368" t="s">
        <v>230</v>
      </c>
      <c r="L61" s="185"/>
    </row>
    <row r="62" spans="1:12" ht="14.25" thickBot="1" x14ac:dyDescent="0.2">
      <c r="A62" s="369"/>
      <c r="B62" s="369"/>
      <c r="C62" s="369"/>
      <c r="D62" s="369"/>
      <c r="E62" s="369"/>
      <c r="F62" s="369"/>
      <c r="G62" s="369"/>
      <c r="H62" s="369"/>
      <c r="I62" s="369"/>
      <c r="J62" s="369"/>
      <c r="K62" s="369"/>
      <c r="L62" s="369"/>
    </row>
    <row r="63" spans="1:12" x14ac:dyDescent="0.15">
      <c r="A63" s="763" t="s">
        <v>231</v>
      </c>
      <c r="B63" s="763"/>
      <c r="C63" s="763"/>
      <c r="D63" s="763"/>
      <c r="E63" s="763"/>
      <c r="F63" s="763"/>
      <c r="G63" s="763"/>
      <c r="H63" s="763"/>
      <c r="I63" s="763"/>
      <c r="J63" s="763"/>
      <c r="K63" s="763"/>
      <c r="L63" s="763"/>
    </row>
    <row r="64" spans="1:12" x14ac:dyDescent="0.15">
      <c r="A64" s="481" t="s">
        <v>137</v>
      </c>
      <c r="B64" s="481"/>
      <c r="C64" s="481"/>
      <c r="D64" s="481"/>
      <c r="E64" s="481"/>
      <c r="F64" s="481"/>
      <c r="G64" s="481"/>
      <c r="H64" s="481"/>
      <c r="I64" s="481"/>
      <c r="J64" s="481"/>
      <c r="K64" s="481"/>
      <c r="L64" s="481"/>
    </row>
    <row r="65" spans="1:12" x14ac:dyDescent="0.15">
      <c r="B65" s="506"/>
      <c r="C65" s="506"/>
      <c r="D65" s="506"/>
      <c r="E65" s="506"/>
      <c r="F65" s="506"/>
      <c r="I65" s="647"/>
      <c r="J65" s="647"/>
      <c r="K65" s="647"/>
      <c r="L65" s="647"/>
    </row>
    <row r="66" spans="1:12" x14ac:dyDescent="0.15">
      <c r="B66" s="506"/>
      <c r="C66" s="506"/>
      <c r="D66" s="506"/>
      <c r="E66" s="506"/>
      <c r="F66" s="506"/>
      <c r="H66" s="773"/>
      <c r="I66" s="773"/>
      <c r="J66" s="773"/>
      <c r="K66" s="773"/>
      <c r="L66" s="773"/>
    </row>
    <row r="67" spans="1:12" x14ac:dyDescent="0.15">
      <c r="B67" s="506"/>
      <c r="C67" s="506"/>
      <c r="D67" s="506"/>
      <c r="E67" s="506"/>
      <c r="F67" s="506"/>
      <c r="I67" s="774"/>
      <c r="J67" s="774"/>
      <c r="K67" s="774"/>
      <c r="L67" s="774"/>
    </row>
    <row r="68" spans="1:12" x14ac:dyDescent="0.15">
      <c r="B68" s="506"/>
      <c r="C68" s="506"/>
      <c r="D68" s="506"/>
      <c r="E68" s="506"/>
      <c r="F68" s="506"/>
      <c r="I68" s="647"/>
      <c r="J68" s="647"/>
      <c r="K68" s="647"/>
      <c r="L68" s="647"/>
    </row>
    <row r="69" spans="1:12" x14ac:dyDescent="0.15">
      <c r="B69" s="506"/>
      <c r="C69" s="506"/>
      <c r="D69" s="506"/>
      <c r="E69" s="506"/>
      <c r="F69" s="506"/>
      <c r="I69" s="647"/>
      <c r="J69" s="647"/>
      <c r="K69" s="647"/>
      <c r="L69" s="647"/>
    </row>
    <row r="70" spans="1:12" ht="17.25" x14ac:dyDescent="0.15">
      <c r="B70" s="370"/>
      <c r="C70" s="370"/>
      <c r="D70" s="370"/>
      <c r="E70" s="370"/>
      <c r="F70" s="132" t="s">
        <v>72</v>
      </c>
    </row>
    <row r="71" spans="1:12" x14ac:dyDescent="0.15">
      <c r="C71" s="507"/>
      <c r="D71" s="507"/>
      <c r="E71" s="507"/>
      <c r="F71" s="9"/>
    </row>
    <row r="72" spans="1:12" x14ac:dyDescent="0.15">
      <c r="B72" s="9"/>
      <c r="C72" s="9"/>
      <c r="D72" s="9"/>
      <c r="E72" s="9"/>
      <c r="F72" s="9"/>
    </row>
    <row r="73" spans="1:12" x14ac:dyDescent="0.15">
      <c r="B73" s="9"/>
      <c r="C73" s="9"/>
      <c r="D73" s="9"/>
      <c r="E73" s="9"/>
      <c r="F73" s="9"/>
    </row>
    <row r="74" spans="1:12" x14ac:dyDescent="0.15">
      <c r="B74" s="9"/>
      <c r="C74" s="9"/>
      <c r="D74" s="9"/>
      <c r="E74" s="9"/>
      <c r="F74" s="9"/>
    </row>
    <row r="75" spans="1:12" x14ac:dyDescent="0.15">
      <c r="A75" s="9"/>
      <c r="B75" s="9"/>
      <c r="C75" s="9"/>
      <c r="D75" s="9"/>
      <c r="E75" s="9"/>
      <c r="F75" s="9"/>
    </row>
    <row r="76" spans="1:12" x14ac:dyDescent="0.15">
      <c r="A76" s="764" t="s">
        <v>213</v>
      </c>
      <c r="B76" s="764"/>
      <c r="C76" s="764"/>
      <c r="D76" s="764"/>
      <c r="E76" s="764"/>
      <c r="F76" s="764"/>
      <c r="G76" s="764"/>
      <c r="H76" s="764"/>
      <c r="I76" s="764"/>
      <c r="J76" s="764"/>
      <c r="K76" s="764"/>
      <c r="L76" s="764"/>
    </row>
    <row r="77" spans="1:12" x14ac:dyDescent="0.15">
      <c r="A77" s="764" t="s">
        <v>214</v>
      </c>
      <c r="B77" s="764"/>
      <c r="C77" s="764"/>
      <c r="D77" s="764"/>
      <c r="E77" s="764"/>
      <c r="F77" s="764"/>
      <c r="G77" s="764"/>
      <c r="H77" s="764"/>
      <c r="I77" s="764"/>
      <c r="J77" s="764"/>
      <c r="K77" s="764"/>
      <c r="L77" s="764"/>
    </row>
    <row r="78" spans="1:12" x14ac:dyDescent="0.15">
      <c r="A78" s="764" t="s">
        <v>233</v>
      </c>
      <c r="B78" s="764"/>
      <c r="C78" s="764"/>
      <c r="D78" s="764"/>
      <c r="E78" s="764"/>
      <c r="F78" s="764"/>
      <c r="G78" s="764"/>
      <c r="H78" s="764"/>
      <c r="I78" s="764"/>
      <c r="J78" s="764"/>
      <c r="K78" s="764"/>
      <c r="L78" s="764"/>
    </row>
    <row r="79" spans="1:12" x14ac:dyDescent="0.15">
      <c r="A79" s="764" t="s">
        <v>234</v>
      </c>
      <c r="B79" s="764"/>
      <c r="C79" s="764"/>
      <c r="D79" s="764"/>
      <c r="E79" s="764"/>
      <c r="F79" s="764"/>
      <c r="G79" s="764"/>
      <c r="H79" s="764"/>
      <c r="I79" s="764"/>
      <c r="J79" s="764"/>
      <c r="K79" s="764"/>
      <c r="L79" s="764"/>
    </row>
    <row r="80" spans="1:12" x14ac:dyDescent="0.15">
      <c r="A80" s="764" t="s">
        <v>235</v>
      </c>
      <c r="B80" s="764"/>
      <c r="C80" s="764"/>
      <c r="D80" s="764"/>
      <c r="E80" s="764"/>
      <c r="F80" s="764"/>
      <c r="G80" s="764"/>
      <c r="H80" s="764"/>
      <c r="I80" s="764"/>
      <c r="J80" s="764"/>
      <c r="K80" s="764"/>
      <c r="L80" s="764"/>
    </row>
    <row r="81" spans="1:12" x14ac:dyDescent="0.15">
      <c r="A81" s="764" t="s">
        <v>236</v>
      </c>
      <c r="B81" s="764"/>
      <c r="C81" s="764"/>
      <c r="D81" s="764"/>
      <c r="E81" s="764"/>
      <c r="F81" s="764"/>
      <c r="G81" s="764"/>
      <c r="H81" s="764"/>
      <c r="I81" s="764"/>
      <c r="J81" s="764"/>
      <c r="K81" s="764"/>
      <c r="L81" s="764"/>
    </row>
    <row r="82" spans="1:12" x14ac:dyDescent="0.15">
      <c r="B82" s="187"/>
      <c r="C82" s="187"/>
      <c r="D82" s="187"/>
      <c r="E82" s="187"/>
      <c r="F82" s="187"/>
      <c r="G82" s="187"/>
      <c r="H82" s="187"/>
      <c r="I82" s="187"/>
      <c r="K82" s="214" t="s">
        <v>219</v>
      </c>
      <c r="L82" s="187"/>
    </row>
    <row r="85" spans="1:12" x14ac:dyDescent="0.15">
      <c r="I85" s="364" t="s">
        <v>220</v>
      </c>
      <c r="J85" s="778"/>
      <c r="K85" s="778"/>
      <c r="L85" s="778"/>
    </row>
    <row r="87" spans="1:12" ht="17.25" x14ac:dyDescent="0.15">
      <c r="A87" s="777" t="s">
        <v>221</v>
      </c>
      <c r="B87" s="777"/>
      <c r="C87" s="777"/>
      <c r="D87" s="777"/>
      <c r="E87" s="777"/>
      <c r="F87" s="777"/>
      <c r="G87" s="777"/>
      <c r="H87" s="777"/>
      <c r="I87" s="777"/>
      <c r="J87" s="777"/>
      <c r="K87" s="777"/>
      <c r="L87" s="777"/>
    </row>
    <row r="88" spans="1:12" ht="14.25" x14ac:dyDescent="0.15">
      <c r="A88" s="138"/>
      <c r="B88" s="138"/>
      <c r="C88" s="138"/>
      <c r="D88" s="138"/>
      <c r="E88" s="138"/>
      <c r="F88" s="138"/>
      <c r="G88" s="138"/>
      <c r="H88" s="138"/>
      <c r="I88" s="138"/>
      <c r="J88" s="138"/>
      <c r="K88" s="138"/>
      <c r="L88" s="138"/>
    </row>
    <row r="89" spans="1:12" s="140" customFormat="1" ht="13.5" customHeight="1" x14ac:dyDescent="0.15">
      <c r="A89" s="776" t="s">
        <v>222</v>
      </c>
      <c r="B89" s="776"/>
      <c r="C89" s="776"/>
      <c r="D89" s="776"/>
      <c r="E89" s="776"/>
      <c r="F89" s="776"/>
      <c r="G89" s="776"/>
      <c r="H89" s="776"/>
      <c r="I89" s="776"/>
      <c r="J89" s="776"/>
      <c r="K89" s="776"/>
      <c r="L89" s="776"/>
    </row>
    <row r="90" spans="1:12" s="140" customFormat="1" ht="13.5" customHeight="1" x14ac:dyDescent="0.15">
      <c r="D90" s="16"/>
      <c r="E90" s="16"/>
      <c r="F90" s="365"/>
      <c r="G90" s="365"/>
      <c r="H90" s="365"/>
      <c r="I90" s="134"/>
      <c r="J90" s="134"/>
    </row>
    <row r="91" spans="1:12" s="140" customFormat="1" ht="13.5" customHeight="1" x14ac:dyDescent="0.15">
      <c r="A91" s="201"/>
      <c r="B91" s="201"/>
      <c r="C91" s="201"/>
      <c r="D91" s="776" t="s">
        <v>237</v>
      </c>
      <c r="E91" s="776"/>
      <c r="F91" s="776"/>
      <c r="G91" s="776"/>
      <c r="H91" s="776"/>
      <c r="I91" s="201"/>
      <c r="J91" s="201"/>
      <c r="K91" s="201"/>
      <c r="L91" s="201"/>
    </row>
    <row r="92" spans="1:12" x14ac:dyDescent="0.15">
      <c r="A92" s="201"/>
      <c r="B92" s="201"/>
      <c r="C92" s="201"/>
      <c r="D92" s="201"/>
      <c r="E92" s="201"/>
      <c r="F92" s="201"/>
      <c r="G92" s="201"/>
      <c r="H92" s="201"/>
      <c r="I92" s="201"/>
      <c r="J92" s="201"/>
      <c r="K92" s="201"/>
      <c r="L92" s="201"/>
    </row>
    <row r="93" spans="1:12" x14ac:dyDescent="0.15">
      <c r="A93" s="201"/>
      <c r="B93" s="201"/>
      <c r="C93" s="201"/>
      <c r="D93" s="776" t="s">
        <v>238</v>
      </c>
      <c r="E93" s="776"/>
      <c r="F93" s="776"/>
      <c r="G93" s="776"/>
      <c r="H93" s="776"/>
      <c r="I93" s="201"/>
      <c r="J93" s="201"/>
      <c r="K93" s="201"/>
      <c r="L93" s="201"/>
    </row>
    <row r="94" spans="1:12" x14ac:dyDescent="0.15">
      <c r="A94" s="201"/>
      <c r="B94" s="201"/>
      <c r="C94" s="201"/>
      <c r="D94" s="201"/>
      <c r="E94" s="201"/>
      <c r="F94" s="201"/>
      <c r="G94" s="201"/>
      <c r="H94" s="201"/>
      <c r="I94" s="201"/>
      <c r="J94" s="201"/>
      <c r="K94" s="201"/>
      <c r="L94" s="201"/>
    </row>
    <row r="95" spans="1:12" x14ac:dyDescent="0.15">
      <c r="A95" s="201"/>
      <c r="B95" s="201"/>
      <c r="C95" s="201"/>
      <c r="D95" s="776" t="s">
        <v>239</v>
      </c>
      <c r="E95" s="776"/>
      <c r="F95" s="776"/>
      <c r="G95" s="776"/>
      <c r="H95" s="776"/>
      <c r="I95" s="201"/>
      <c r="J95" s="201"/>
      <c r="K95" s="201"/>
      <c r="L95" s="201"/>
    </row>
    <row r="96" spans="1:12" x14ac:dyDescent="0.15">
      <c r="A96" s="200"/>
      <c r="B96" s="200"/>
      <c r="C96" s="200"/>
      <c r="D96" s="200"/>
      <c r="E96" s="200"/>
      <c r="F96" s="200"/>
      <c r="G96" s="200"/>
      <c r="H96" s="200"/>
      <c r="I96" s="200"/>
      <c r="J96" s="200"/>
      <c r="K96" s="200"/>
      <c r="L96" s="200"/>
    </row>
    <row r="114" spans="1:12" x14ac:dyDescent="0.15">
      <c r="A114" s="185"/>
      <c r="B114" s="185"/>
      <c r="C114" s="185"/>
      <c r="D114" s="185"/>
      <c r="E114" s="185"/>
      <c r="F114" s="185"/>
      <c r="G114" s="185"/>
      <c r="H114" s="185"/>
      <c r="I114" s="185"/>
      <c r="J114" s="185"/>
      <c r="K114" s="185"/>
      <c r="L114" s="185"/>
    </row>
    <row r="115" spans="1:12" x14ac:dyDescent="0.15">
      <c r="A115" s="185"/>
      <c r="B115" s="185"/>
      <c r="C115" s="185"/>
      <c r="D115" s="185"/>
      <c r="E115" s="185"/>
      <c r="F115" s="185"/>
      <c r="G115" s="185"/>
      <c r="H115" s="185"/>
      <c r="I115" s="185"/>
      <c r="J115" s="185"/>
      <c r="K115" s="185"/>
      <c r="L115" s="185"/>
    </row>
    <row r="116" spans="1:12" x14ac:dyDescent="0.15">
      <c r="A116" s="185"/>
      <c r="B116" s="185"/>
      <c r="C116" s="185"/>
      <c r="D116" s="185"/>
      <c r="E116" s="185"/>
      <c r="F116" s="185"/>
      <c r="G116" s="185"/>
      <c r="H116" s="185"/>
      <c r="I116" s="185"/>
      <c r="J116" s="185"/>
      <c r="K116" s="185"/>
      <c r="L116" s="185"/>
    </row>
    <row r="117" spans="1:12" x14ac:dyDescent="0.15">
      <c r="A117" s="185"/>
      <c r="B117" s="185"/>
      <c r="C117" s="185"/>
      <c r="D117" s="185"/>
      <c r="E117" s="185"/>
      <c r="F117" s="185"/>
      <c r="G117" s="185"/>
      <c r="H117" s="185"/>
      <c r="I117" s="185"/>
      <c r="J117" s="185"/>
      <c r="K117" s="185"/>
      <c r="L117" s="185"/>
    </row>
    <row r="118" spans="1:12" x14ac:dyDescent="0.15">
      <c r="A118" s="185"/>
      <c r="B118" s="185"/>
      <c r="C118" s="185"/>
      <c r="D118" s="185"/>
      <c r="E118" s="185"/>
      <c r="F118" s="185"/>
      <c r="G118" s="185"/>
      <c r="H118" s="185"/>
      <c r="I118" s="185"/>
      <c r="J118" s="185"/>
      <c r="K118" s="185"/>
      <c r="L118" s="185"/>
    </row>
    <row r="119" spans="1:12" x14ac:dyDescent="0.15">
      <c r="A119" s="185"/>
      <c r="B119" s="185"/>
      <c r="C119" s="185"/>
      <c r="D119" s="185"/>
      <c r="E119" s="185"/>
      <c r="F119" s="185"/>
      <c r="G119" s="185"/>
      <c r="H119" s="185"/>
      <c r="I119" s="185"/>
      <c r="J119" s="185"/>
      <c r="K119" s="185"/>
      <c r="L119" s="185"/>
    </row>
    <row r="120" spans="1:12" x14ac:dyDescent="0.15">
      <c r="A120" s="771"/>
      <c r="B120" s="771"/>
      <c r="C120" s="771"/>
      <c r="D120" s="185"/>
      <c r="E120" s="185"/>
      <c r="F120" s="185"/>
      <c r="G120" s="185"/>
      <c r="H120" s="185"/>
      <c r="I120" s="185"/>
      <c r="J120" s="185"/>
      <c r="K120" s="185"/>
      <c r="L120" s="185"/>
    </row>
    <row r="121" spans="1:12" x14ac:dyDescent="0.15">
      <c r="A121" s="185"/>
      <c r="B121" s="185"/>
      <c r="C121" s="185"/>
      <c r="D121" s="185"/>
      <c r="E121" s="185"/>
      <c r="F121" s="185"/>
      <c r="G121" s="185"/>
      <c r="H121" s="185"/>
      <c r="I121" s="185"/>
      <c r="J121" s="185"/>
      <c r="K121" s="185"/>
      <c r="L121" s="185"/>
    </row>
    <row r="122" spans="1:12" x14ac:dyDescent="0.15">
      <c r="A122" s="185"/>
      <c r="B122" s="185"/>
      <c r="C122" s="185"/>
      <c r="D122" s="185"/>
      <c r="E122" s="185"/>
      <c r="F122" s="185"/>
      <c r="G122" s="185"/>
      <c r="H122" s="185"/>
      <c r="I122" s="185"/>
      <c r="J122" s="185"/>
      <c r="K122" s="185"/>
      <c r="L122" s="185"/>
    </row>
    <row r="123" spans="1:12" x14ac:dyDescent="0.15">
      <c r="A123" s="185"/>
      <c r="B123" s="185"/>
      <c r="C123" s="185"/>
      <c r="D123" s="185"/>
      <c r="E123" s="185"/>
      <c r="F123" s="185"/>
      <c r="G123" s="185"/>
      <c r="H123" s="185"/>
      <c r="I123" s="185"/>
      <c r="J123" s="185"/>
      <c r="K123" s="185"/>
      <c r="L123" s="185"/>
    </row>
    <row r="124" spans="1:12" ht="14.25" x14ac:dyDescent="0.15">
      <c r="A124" s="185"/>
      <c r="B124" s="185"/>
      <c r="C124" s="185"/>
      <c r="D124" s="185"/>
      <c r="E124" s="185"/>
      <c r="F124" s="185"/>
      <c r="G124" s="185"/>
      <c r="H124" s="185"/>
      <c r="I124" s="185"/>
      <c r="J124" s="185"/>
      <c r="K124" s="1"/>
      <c r="L124" s="185"/>
    </row>
    <row r="125" spans="1:12" ht="14.25" thickBot="1" x14ac:dyDescent="0.2">
      <c r="A125" s="369"/>
      <c r="B125" s="369"/>
      <c r="C125" s="369"/>
      <c r="D125" s="369"/>
      <c r="E125" s="369"/>
      <c r="F125" s="369"/>
      <c r="G125" s="369"/>
      <c r="H125" s="369"/>
      <c r="I125" s="369"/>
      <c r="J125" s="369"/>
      <c r="K125" s="369"/>
      <c r="L125" s="369"/>
    </row>
    <row r="126" spans="1:12" x14ac:dyDescent="0.15">
      <c r="A126" s="763" t="s">
        <v>232</v>
      </c>
      <c r="B126" s="763"/>
      <c r="C126" s="763"/>
      <c r="D126" s="763"/>
      <c r="E126" s="763"/>
      <c r="F126" s="763"/>
      <c r="G126" s="763"/>
      <c r="H126" s="763"/>
      <c r="I126" s="763"/>
      <c r="J126" s="763"/>
      <c r="K126" s="763"/>
      <c r="L126" s="763"/>
    </row>
  </sheetData>
  <mergeCells count="59">
    <mergeCell ref="A1:L1"/>
    <mergeCell ref="B2:F2"/>
    <mergeCell ref="I2:L2"/>
    <mergeCell ref="B3:F4"/>
    <mergeCell ref="H3:L3"/>
    <mergeCell ref="I4:L4"/>
    <mergeCell ref="A18:L18"/>
    <mergeCell ref="B5:F5"/>
    <mergeCell ref="I5:L5"/>
    <mergeCell ref="B6:F6"/>
    <mergeCell ref="I6:L6"/>
    <mergeCell ref="B7:E7"/>
    <mergeCell ref="C8:E8"/>
    <mergeCell ref="A13:L13"/>
    <mergeCell ref="A14:L14"/>
    <mergeCell ref="A15:L15"/>
    <mergeCell ref="A16:L16"/>
    <mergeCell ref="A17:L17"/>
    <mergeCell ref="B65:F65"/>
    <mergeCell ref="I65:L65"/>
    <mergeCell ref="J22:L22"/>
    <mergeCell ref="A24:L24"/>
    <mergeCell ref="A26:L26"/>
    <mergeCell ref="D28:E28"/>
    <mergeCell ref="F28:H28"/>
    <mergeCell ref="D30:E30"/>
    <mergeCell ref="F30:H30"/>
    <mergeCell ref="D32:E32"/>
    <mergeCell ref="F32:H32"/>
    <mergeCell ref="A57:C57"/>
    <mergeCell ref="A63:L63"/>
    <mergeCell ref="A64:L64"/>
    <mergeCell ref="B66:F66"/>
    <mergeCell ref="H66:L66"/>
    <mergeCell ref="B67:F67"/>
    <mergeCell ref="I67:L67"/>
    <mergeCell ref="B68:F68"/>
    <mergeCell ref="I68:L68"/>
    <mergeCell ref="A87:L87"/>
    <mergeCell ref="B69:F69"/>
    <mergeCell ref="I69:L69"/>
    <mergeCell ref="B70:E70"/>
    <mergeCell ref="C71:E71"/>
    <mergeCell ref="A76:L76"/>
    <mergeCell ref="A77:L77"/>
    <mergeCell ref="A78:L78"/>
    <mergeCell ref="A79:L79"/>
    <mergeCell ref="A80:L80"/>
    <mergeCell ref="A81:L81"/>
    <mergeCell ref="J85:L85"/>
    <mergeCell ref="A120:C120"/>
    <mergeCell ref="A126:L126"/>
    <mergeCell ref="A89:L89"/>
    <mergeCell ref="D91:E91"/>
    <mergeCell ref="F91:H91"/>
    <mergeCell ref="D93:E93"/>
    <mergeCell ref="F93:H93"/>
    <mergeCell ref="D95:E95"/>
    <mergeCell ref="F95:H95"/>
  </mergeCells>
  <phoneticPr fontId="3"/>
  <pageMargins left="0.39370078740157483" right="0.39370078740157483" top="0.6" bottom="0.19685039370078741" header="0.51181102362204722" footer="0.51181102362204722"/>
  <pageSetup paperSize="9"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71EF-51C3-4917-96FA-986D1A872CF7}">
  <sheetPr codeName="Sheet20"/>
  <dimension ref="A1:AD116"/>
  <sheetViews>
    <sheetView tabSelected="1" zoomScaleNormal="100" workbookViewId="0">
      <selection activeCell="AT6" sqref="AT6"/>
    </sheetView>
  </sheetViews>
  <sheetFormatPr defaultColWidth="9" defaultRowHeight="13.5" x14ac:dyDescent="0.15"/>
  <cols>
    <col min="1" max="1" width="3.625" customWidth="1"/>
    <col min="2" max="2" width="5.5" customWidth="1"/>
    <col min="3" max="3" width="5" customWidth="1"/>
    <col min="4" max="12" width="3.625" customWidth="1"/>
    <col min="13" max="13" width="4.875" customWidth="1"/>
    <col min="14" max="16" width="3.625" customWidth="1"/>
    <col min="17" max="19" width="4.125" customWidth="1"/>
    <col min="20" max="27" width="3.625" customWidth="1"/>
    <col min="28" max="28" width="3.75" customWidth="1"/>
    <col min="29" max="29" width="3.625" customWidth="1"/>
    <col min="30" max="30" width="1.375" hidden="1" customWidth="1"/>
    <col min="31" max="244" width="3.625" customWidth="1"/>
    <col min="257" max="257" width="3.625" customWidth="1"/>
    <col min="258" max="258" width="5.5" customWidth="1"/>
    <col min="259" max="259" width="5" customWidth="1"/>
    <col min="260" max="268" width="3.625" customWidth="1"/>
    <col min="269" max="269" width="4.875" customWidth="1"/>
    <col min="270" max="272" width="3.625" customWidth="1"/>
    <col min="273" max="275" width="4.125" customWidth="1"/>
    <col min="276" max="283" width="3.625" customWidth="1"/>
    <col min="284" max="284" width="3.75" customWidth="1"/>
    <col min="285" max="285" width="3.625" customWidth="1"/>
    <col min="286" max="286" width="0" hidden="1" customWidth="1"/>
    <col min="287" max="500" width="3.625" customWidth="1"/>
    <col min="513" max="513" width="3.625" customWidth="1"/>
    <col min="514" max="514" width="5.5" customWidth="1"/>
    <col min="515" max="515" width="5" customWidth="1"/>
    <col min="516" max="524" width="3.625" customWidth="1"/>
    <col min="525" max="525" width="4.875" customWidth="1"/>
    <col min="526" max="528" width="3.625" customWidth="1"/>
    <col min="529" max="531" width="4.125" customWidth="1"/>
    <col min="532" max="539" width="3.625" customWidth="1"/>
    <col min="540" max="540" width="3.75" customWidth="1"/>
    <col min="541" max="541" width="3.625" customWidth="1"/>
    <col min="542" max="542" width="0" hidden="1" customWidth="1"/>
    <col min="543" max="756" width="3.625" customWidth="1"/>
    <col min="769" max="769" width="3.625" customWidth="1"/>
    <col min="770" max="770" width="5.5" customWidth="1"/>
    <col min="771" max="771" width="5" customWidth="1"/>
    <col min="772" max="780" width="3.625" customWidth="1"/>
    <col min="781" max="781" width="4.875" customWidth="1"/>
    <col min="782" max="784" width="3.625" customWidth="1"/>
    <col min="785" max="787" width="4.125" customWidth="1"/>
    <col min="788" max="795" width="3.625" customWidth="1"/>
    <col min="796" max="796" width="3.75" customWidth="1"/>
    <col min="797" max="797" width="3.625" customWidth="1"/>
    <col min="798" max="798" width="0" hidden="1" customWidth="1"/>
    <col min="799" max="1012" width="3.625" customWidth="1"/>
    <col min="1025" max="1025" width="3.625" customWidth="1"/>
    <col min="1026" max="1026" width="5.5" customWidth="1"/>
    <col min="1027" max="1027" width="5" customWidth="1"/>
    <col min="1028" max="1036" width="3.625" customWidth="1"/>
    <col min="1037" max="1037" width="4.875" customWidth="1"/>
    <col min="1038" max="1040" width="3.625" customWidth="1"/>
    <col min="1041" max="1043" width="4.125" customWidth="1"/>
    <col min="1044" max="1051" width="3.625" customWidth="1"/>
    <col min="1052" max="1052" width="3.75" customWidth="1"/>
    <col min="1053" max="1053" width="3.625" customWidth="1"/>
    <col min="1054" max="1054" width="0" hidden="1" customWidth="1"/>
    <col min="1055" max="1268" width="3.625" customWidth="1"/>
    <col min="1281" max="1281" width="3.625" customWidth="1"/>
    <col min="1282" max="1282" width="5.5" customWidth="1"/>
    <col min="1283" max="1283" width="5" customWidth="1"/>
    <col min="1284" max="1292" width="3.625" customWidth="1"/>
    <col min="1293" max="1293" width="4.875" customWidth="1"/>
    <col min="1294" max="1296" width="3.625" customWidth="1"/>
    <col min="1297" max="1299" width="4.125" customWidth="1"/>
    <col min="1300" max="1307" width="3.625" customWidth="1"/>
    <col min="1308" max="1308" width="3.75" customWidth="1"/>
    <col min="1309" max="1309" width="3.625" customWidth="1"/>
    <col min="1310" max="1310" width="0" hidden="1" customWidth="1"/>
    <col min="1311" max="1524" width="3.625" customWidth="1"/>
    <col min="1537" max="1537" width="3.625" customWidth="1"/>
    <col min="1538" max="1538" width="5.5" customWidth="1"/>
    <col min="1539" max="1539" width="5" customWidth="1"/>
    <col min="1540" max="1548" width="3.625" customWidth="1"/>
    <col min="1549" max="1549" width="4.875" customWidth="1"/>
    <col min="1550" max="1552" width="3.625" customWidth="1"/>
    <col min="1553" max="1555" width="4.125" customWidth="1"/>
    <col min="1556" max="1563" width="3.625" customWidth="1"/>
    <col min="1564" max="1564" width="3.75" customWidth="1"/>
    <col min="1565" max="1565" width="3.625" customWidth="1"/>
    <col min="1566" max="1566" width="0" hidden="1" customWidth="1"/>
    <col min="1567" max="1780" width="3.625" customWidth="1"/>
    <col min="1793" max="1793" width="3.625" customWidth="1"/>
    <col min="1794" max="1794" width="5.5" customWidth="1"/>
    <col min="1795" max="1795" width="5" customWidth="1"/>
    <col min="1796" max="1804" width="3.625" customWidth="1"/>
    <col min="1805" max="1805" width="4.875" customWidth="1"/>
    <col min="1806" max="1808" width="3.625" customWidth="1"/>
    <col min="1809" max="1811" width="4.125" customWidth="1"/>
    <col min="1812" max="1819" width="3.625" customWidth="1"/>
    <col min="1820" max="1820" width="3.75" customWidth="1"/>
    <col min="1821" max="1821" width="3.625" customWidth="1"/>
    <col min="1822" max="1822" width="0" hidden="1" customWidth="1"/>
    <col min="1823" max="2036" width="3.625" customWidth="1"/>
    <col min="2049" max="2049" width="3.625" customWidth="1"/>
    <col min="2050" max="2050" width="5.5" customWidth="1"/>
    <col min="2051" max="2051" width="5" customWidth="1"/>
    <col min="2052" max="2060" width="3.625" customWidth="1"/>
    <col min="2061" max="2061" width="4.875" customWidth="1"/>
    <col min="2062" max="2064" width="3.625" customWidth="1"/>
    <col min="2065" max="2067" width="4.125" customWidth="1"/>
    <col min="2068" max="2075" width="3.625" customWidth="1"/>
    <col min="2076" max="2076" width="3.75" customWidth="1"/>
    <col min="2077" max="2077" width="3.625" customWidth="1"/>
    <col min="2078" max="2078" width="0" hidden="1" customWidth="1"/>
    <col min="2079" max="2292" width="3.625" customWidth="1"/>
    <col min="2305" max="2305" width="3.625" customWidth="1"/>
    <col min="2306" max="2306" width="5.5" customWidth="1"/>
    <col min="2307" max="2307" width="5" customWidth="1"/>
    <col min="2308" max="2316" width="3.625" customWidth="1"/>
    <col min="2317" max="2317" width="4.875" customWidth="1"/>
    <col min="2318" max="2320" width="3.625" customWidth="1"/>
    <col min="2321" max="2323" width="4.125" customWidth="1"/>
    <col min="2324" max="2331" width="3.625" customWidth="1"/>
    <col min="2332" max="2332" width="3.75" customWidth="1"/>
    <col min="2333" max="2333" width="3.625" customWidth="1"/>
    <col min="2334" max="2334" width="0" hidden="1" customWidth="1"/>
    <col min="2335" max="2548" width="3.625" customWidth="1"/>
    <col min="2561" max="2561" width="3.625" customWidth="1"/>
    <col min="2562" max="2562" width="5.5" customWidth="1"/>
    <col min="2563" max="2563" width="5" customWidth="1"/>
    <col min="2564" max="2572" width="3.625" customWidth="1"/>
    <col min="2573" max="2573" width="4.875" customWidth="1"/>
    <col min="2574" max="2576" width="3.625" customWidth="1"/>
    <col min="2577" max="2579" width="4.125" customWidth="1"/>
    <col min="2580" max="2587" width="3.625" customWidth="1"/>
    <col min="2588" max="2588" width="3.75" customWidth="1"/>
    <col min="2589" max="2589" width="3.625" customWidth="1"/>
    <col min="2590" max="2590" width="0" hidden="1" customWidth="1"/>
    <col min="2591" max="2804" width="3.625" customWidth="1"/>
    <col min="2817" max="2817" width="3.625" customWidth="1"/>
    <col min="2818" max="2818" width="5.5" customWidth="1"/>
    <col min="2819" max="2819" width="5" customWidth="1"/>
    <col min="2820" max="2828" width="3.625" customWidth="1"/>
    <col min="2829" max="2829" width="4.875" customWidth="1"/>
    <col min="2830" max="2832" width="3.625" customWidth="1"/>
    <col min="2833" max="2835" width="4.125" customWidth="1"/>
    <col min="2836" max="2843" width="3.625" customWidth="1"/>
    <col min="2844" max="2844" width="3.75" customWidth="1"/>
    <col min="2845" max="2845" width="3.625" customWidth="1"/>
    <col min="2846" max="2846" width="0" hidden="1" customWidth="1"/>
    <col min="2847" max="3060" width="3.625" customWidth="1"/>
    <col min="3073" max="3073" width="3.625" customWidth="1"/>
    <col min="3074" max="3074" width="5.5" customWidth="1"/>
    <col min="3075" max="3075" width="5" customWidth="1"/>
    <col min="3076" max="3084" width="3.625" customWidth="1"/>
    <col min="3085" max="3085" width="4.875" customWidth="1"/>
    <col min="3086" max="3088" width="3.625" customWidth="1"/>
    <col min="3089" max="3091" width="4.125" customWidth="1"/>
    <col min="3092" max="3099" width="3.625" customWidth="1"/>
    <col min="3100" max="3100" width="3.75" customWidth="1"/>
    <col min="3101" max="3101" width="3.625" customWidth="1"/>
    <col min="3102" max="3102" width="0" hidden="1" customWidth="1"/>
    <col min="3103" max="3316" width="3.625" customWidth="1"/>
    <col min="3329" max="3329" width="3.625" customWidth="1"/>
    <col min="3330" max="3330" width="5.5" customWidth="1"/>
    <col min="3331" max="3331" width="5" customWidth="1"/>
    <col min="3332" max="3340" width="3.625" customWidth="1"/>
    <col min="3341" max="3341" width="4.875" customWidth="1"/>
    <col min="3342" max="3344" width="3.625" customWidth="1"/>
    <col min="3345" max="3347" width="4.125" customWidth="1"/>
    <col min="3348" max="3355" width="3.625" customWidth="1"/>
    <col min="3356" max="3356" width="3.75" customWidth="1"/>
    <col min="3357" max="3357" width="3.625" customWidth="1"/>
    <col min="3358" max="3358" width="0" hidden="1" customWidth="1"/>
    <col min="3359" max="3572" width="3.625" customWidth="1"/>
    <col min="3585" max="3585" width="3.625" customWidth="1"/>
    <col min="3586" max="3586" width="5.5" customWidth="1"/>
    <col min="3587" max="3587" width="5" customWidth="1"/>
    <col min="3588" max="3596" width="3.625" customWidth="1"/>
    <col min="3597" max="3597" width="4.875" customWidth="1"/>
    <col min="3598" max="3600" width="3.625" customWidth="1"/>
    <col min="3601" max="3603" width="4.125" customWidth="1"/>
    <col min="3604" max="3611" width="3.625" customWidth="1"/>
    <col min="3612" max="3612" width="3.75" customWidth="1"/>
    <col min="3613" max="3613" width="3.625" customWidth="1"/>
    <col min="3614" max="3614" width="0" hidden="1" customWidth="1"/>
    <col min="3615" max="3828" width="3.625" customWidth="1"/>
    <col min="3841" max="3841" width="3.625" customWidth="1"/>
    <col min="3842" max="3842" width="5.5" customWidth="1"/>
    <col min="3843" max="3843" width="5" customWidth="1"/>
    <col min="3844" max="3852" width="3.625" customWidth="1"/>
    <col min="3853" max="3853" width="4.875" customWidth="1"/>
    <col min="3854" max="3856" width="3.625" customWidth="1"/>
    <col min="3857" max="3859" width="4.125" customWidth="1"/>
    <col min="3860" max="3867" width="3.625" customWidth="1"/>
    <col min="3868" max="3868" width="3.75" customWidth="1"/>
    <col min="3869" max="3869" width="3.625" customWidth="1"/>
    <col min="3870" max="3870" width="0" hidden="1" customWidth="1"/>
    <col min="3871" max="4084" width="3.625" customWidth="1"/>
    <col min="4097" max="4097" width="3.625" customWidth="1"/>
    <col min="4098" max="4098" width="5.5" customWidth="1"/>
    <col min="4099" max="4099" width="5" customWidth="1"/>
    <col min="4100" max="4108" width="3.625" customWidth="1"/>
    <col min="4109" max="4109" width="4.875" customWidth="1"/>
    <col min="4110" max="4112" width="3.625" customWidth="1"/>
    <col min="4113" max="4115" width="4.125" customWidth="1"/>
    <col min="4116" max="4123" width="3.625" customWidth="1"/>
    <col min="4124" max="4124" width="3.75" customWidth="1"/>
    <col min="4125" max="4125" width="3.625" customWidth="1"/>
    <col min="4126" max="4126" width="0" hidden="1" customWidth="1"/>
    <col min="4127" max="4340" width="3.625" customWidth="1"/>
    <col min="4353" max="4353" width="3.625" customWidth="1"/>
    <col min="4354" max="4354" width="5.5" customWidth="1"/>
    <col min="4355" max="4355" width="5" customWidth="1"/>
    <col min="4356" max="4364" width="3.625" customWidth="1"/>
    <col min="4365" max="4365" width="4.875" customWidth="1"/>
    <col min="4366" max="4368" width="3.625" customWidth="1"/>
    <col min="4369" max="4371" width="4.125" customWidth="1"/>
    <col min="4372" max="4379" width="3.625" customWidth="1"/>
    <col min="4380" max="4380" width="3.75" customWidth="1"/>
    <col min="4381" max="4381" width="3.625" customWidth="1"/>
    <col min="4382" max="4382" width="0" hidden="1" customWidth="1"/>
    <col min="4383" max="4596" width="3.625" customWidth="1"/>
    <col min="4609" max="4609" width="3.625" customWidth="1"/>
    <col min="4610" max="4610" width="5.5" customWidth="1"/>
    <col min="4611" max="4611" width="5" customWidth="1"/>
    <col min="4612" max="4620" width="3.625" customWidth="1"/>
    <col min="4621" max="4621" width="4.875" customWidth="1"/>
    <col min="4622" max="4624" width="3.625" customWidth="1"/>
    <col min="4625" max="4627" width="4.125" customWidth="1"/>
    <col min="4628" max="4635" width="3.625" customWidth="1"/>
    <col min="4636" max="4636" width="3.75" customWidth="1"/>
    <col min="4637" max="4637" width="3.625" customWidth="1"/>
    <col min="4638" max="4638" width="0" hidden="1" customWidth="1"/>
    <col min="4639" max="4852" width="3.625" customWidth="1"/>
    <col min="4865" max="4865" width="3.625" customWidth="1"/>
    <col min="4866" max="4866" width="5.5" customWidth="1"/>
    <col min="4867" max="4867" width="5" customWidth="1"/>
    <col min="4868" max="4876" width="3.625" customWidth="1"/>
    <col min="4877" max="4877" width="4.875" customWidth="1"/>
    <col min="4878" max="4880" width="3.625" customWidth="1"/>
    <col min="4881" max="4883" width="4.125" customWidth="1"/>
    <col min="4884" max="4891" width="3.625" customWidth="1"/>
    <col min="4892" max="4892" width="3.75" customWidth="1"/>
    <col min="4893" max="4893" width="3.625" customWidth="1"/>
    <col min="4894" max="4894" width="0" hidden="1" customWidth="1"/>
    <col min="4895" max="5108" width="3.625" customWidth="1"/>
    <col min="5121" max="5121" width="3.625" customWidth="1"/>
    <col min="5122" max="5122" width="5.5" customWidth="1"/>
    <col min="5123" max="5123" width="5" customWidth="1"/>
    <col min="5124" max="5132" width="3.625" customWidth="1"/>
    <col min="5133" max="5133" width="4.875" customWidth="1"/>
    <col min="5134" max="5136" width="3.625" customWidth="1"/>
    <col min="5137" max="5139" width="4.125" customWidth="1"/>
    <col min="5140" max="5147" width="3.625" customWidth="1"/>
    <col min="5148" max="5148" width="3.75" customWidth="1"/>
    <col min="5149" max="5149" width="3.625" customWidth="1"/>
    <col min="5150" max="5150" width="0" hidden="1" customWidth="1"/>
    <col min="5151" max="5364" width="3.625" customWidth="1"/>
    <col min="5377" max="5377" width="3.625" customWidth="1"/>
    <col min="5378" max="5378" width="5.5" customWidth="1"/>
    <col min="5379" max="5379" width="5" customWidth="1"/>
    <col min="5380" max="5388" width="3.625" customWidth="1"/>
    <col min="5389" max="5389" width="4.875" customWidth="1"/>
    <col min="5390" max="5392" width="3.625" customWidth="1"/>
    <col min="5393" max="5395" width="4.125" customWidth="1"/>
    <col min="5396" max="5403" width="3.625" customWidth="1"/>
    <col min="5404" max="5404" width="3.75" customWidth="1"/>
    <col min="5405" max="5405" width="3.625" customWidth="1"/>
    <col min="5406" max="5406" width="0" hidden="1" customWidth="1"/>
    <col min="5407" max="5620" width="3.625" customWidth="1"/>
    <col min="5633" max="5633" width="3.625" customWidth="1"/>
    <col min="5634" max="5634" width="5.5" customWidth="1"/>
    <col min="5635" max="5635" width="5" customWidth="1"/>
    <col min="5636" max="5644" width="3.625" customWidth="1"/>
    <col min="5645" max="5645" width="4.875" customWidth="1"/>
    <col min="5646" max="5648" width="3.625" customWidth="1"/>
    <col min="5649" max="5651" width="4.125" customWidth="1"/>
    <col min="5652" max="5659" width="3.625" customWidth="1"/>
    <col min="5660" max="5660" width="3.75" customWidth="1"/>
    <col min="5661" max="5661" width="3.625" customWidth="1"/>
    <col min="5662" max="5662" width="0" hidden="1" customWidth="1"/>
    <col min="5663" max="5876" width="3.625" customWidth="1"/>
    <col min="5889" max="5889" width="3.625" customWidth="1"/>
    <col min="5890" max="5890" width="5.5" customWidth="1"/>
    <col min="5891" max="5891" width="5" customWidth="1"/>
    <col min="5892" max="5900" width="3.625" customWidth="1"/>
    <col min="5901" max="5901" width="4.875" customWidth="1"/>
    <col min="5902" max="5904" width="3.625" customWidth="1"/>
    <col min="5905" max="5907" width="4.125" customWidth="1"/>
    <col min="5908" max="5915" width="3.625" customWidth="1"/>
    <col min="5916" max="5916" width="3.75" customWidth="1"/>
    <col min="5917" max="5917" width="3.625" customWidth="1"/>
    <col min="5918" max="5918" width="0" hidden="1" customWidth="1"/>
    <col min="5919" max="6132" width="3.625" customWidth="1"/>
    <col min="6145" max="6145" width="3.625" customWidth="1"/>
    <col min="6146" max="6146" width="5.5" customWidth="1"/>
    <col min="6147" max="6147" width="5" customWidth="1"/>
    <col min="6148" max="6156" width="3.625" customWidth="1"/>
    <col min="6157" max="6157" width="4.875" customWidth="1"/>
    <col min="6158" max="6160" width="3.625" customWidth="1"/>
    <col min="6161" max="6163" width="4.125" customWidth="1"/>
    <col min="6164" max="6171" width="3.625" customWidth="1"/>
    <col min="6172" max="6172" width="3.75" customWidth="1"/>
    <col min="6173" max="6173" width="3.625" customWidth="1"/>
    <col min="6174" max="6174" width="0" hidden="1" customWidth="1"/>
    <col min="6175" max="6388" width="3.625" customWidth="1"/>
    <col min="6401" max="6401" width="3.625" customWidth="1"/>
    <col min="6402" max="6402" width="5.5" customWidth="1"/>
    <col min="6403" max="6403" width="5" customWidth="1"/>
    <col min="6404" max="6412" width="3.625" customWidth="1"/>
    <col min="6413" max="6413" width="4.875" customWidth="1"/>
    <col min="6414" max="6416" width="3.625" customWidth="1"/>
    <col min="6417" max="6419" width="4.125" customWidth="1"/>
    <col min="6420" max="6427" width="3.625" customWidth="1"/>
    <col min="6428" max="6428" width="3.75" customWidth="1"/>
    <col min="6429" max="6429" width="3.625" customWidth="1"/>
    <col min="6430" max="6430" width="0" hidden="1" customWidth="1"/>
    <col min="6431" max="6644" width="3.625" customWidth="1"/>
    <col min="6657" max="6657" width="3.625" customWidth="1"/>
    <col min="6658" max="6658" width="5.5" customWidth="1"/>
    <col min="6659" max="6659" width="5" customWidth="1"/>
    <col min="6660" max="6668" width="3.625" customWidth="1"/>
    <col min="6669" max="6669" width="4.875" customWidth="1"/>
    <col min="6670" max="6672" width="3.625" customWidth="1"/>
    <col min="6673" max="6675" width="4.125" customWidth="1"/>
    <col min="6676" max="6683" width="3.625" customWidth="1"/>
    <col min="6684" max="6684" width="3.75" customWidth="1"/>
    <col min="6685" max="6685" width="3.625" customWidth="1"/>
    <col min="6686" max="6686" width="0" hidden="1" customWidth="1"/>
    <col min="6687" max="6900" width="3.625" customWidth="1"/>
    <col min="6913" max="6913" width="3.625" customWidth="1"/>
    <col min="6914" max="6914" width="5.5" customWidth="1"/>
    <col min="6915" max="6915" width="5" customWidth="1"/>
    <col min="6916" max="6924" width="3.625" customWidth="1"/>
    <col min="6925" max="6925" width="4.875" customWidth="1"/>
    <col min="6926" max="6928" width="3.625" customWidth="1"/>
    <col min="6929" max="6931" width="4.125" customWidth="1"/>
    <col min="6932" max="6939" width="3.625" customWidth="1"/>
    <col min="6940" max="6940" width="3.75" customWidth="1"/>
    <col min="6941" max="6941" width="3.625" customWidth="1"/>
    <col min="6942" max="6942" width="0" hidden="1" customWidth="1"/>
    <col min="6943" max="7156" width="3.625" customWidth="1"/>
    <col min="7169" max="7169" width="3.625" customWidth="1"/>
    <col min="7170" max="7170" width="5.5" customWidth="1"/>
    <col min="7171" max="7171" width="5" customWidth="1"/>
    <col min="7172" max="7180" width="3.625" customWidth="1"/>
    <col min="7181" max="7181" width="4.875" customWidth="1"/>
    <col min="7182" max="7184" width="3.625" customWidth="1"/>
    <col min="7185" max="7187" width="4.125" customWidth="1"/>
    <col min="7188" max="7195" width="3.625" customWidth="1"/>
    <col min="7196" max="7196" width="3.75" customWidth="1"/>
    <col min="7197" max="7197" width="3.625" customWidth="1"/>
    <col min="7198" max="7198" width="0" hidden="1" customWidth="1"/>
    <col min="7199" max="7412" width="3.625" customWidth="1"/>
    <col min="7425" max="7425" width="3.625" customWidth="1"/>
    <col min="7426" max="7426" width="5.5" customWidth="1"/>
    <col min="7427" max="7427" width="5" customWidth="1"/>
    <col min="7428" max="7436" width="3.625" customWidth="1"/>
    <col min="7437" max="7437" width="4.875" customWidth="1"/>
    <col min="7438" max="7440" width="3.625" customWidth="1"/>
    <col min="7441" max="7443" width="4.125" customWidth="1"/>
    <col min="7444" max="7451" width="3.625" customWidth="1"/>
    <col min="7452" max="7452" width="3.75" customWidth="1"/>
    <col min="7453" max="7453" width="3.625" customWidth="1"/>
    <col min="7454" max="7454" width="0" hidden="1" customWidth="1"/>
    <col min="7455" max="7668" width="3.625" customWidth="1"/>
    <col min="7681" max="7681" width="3.625" customWidth="1"/>
    <col min="7682" max="7682" width="5.5" customWidth="1"/>
    <col min="7683" max="7683" width="5" customWidth="1"/>
    <col min="7684" max="7692" width="3.625" customWidth="1"/>
    <col min="7693" max="7693" width="4.875" customWidth="1"/>
    <col min="7694" max="7696" width="3.625" customWidth="1"/>
    <col min="7697" max="7699" width="4.125" customWidth="1"/>
    <col min="7700" max="7707" width="3.625" customWidth="1"/>
    <col min="7708" max="7708" width="3.75" customWidth="1"/>
    <col min="7709" max="7709" width="3.625" customWidth="1"/>
    <col min="7710" max="7710" width="0" hidden="1" customWidth="1"/>
    <col min="7711" max="7924" width="3.625" customWidth="1"/>
    <col min="7937" max="7937" width="3.625" customWidth="1"/>
    <col min="7938" max="7938" width="5.5" customWidth="1"/>
    <col min="7939" max="7939" width="5" customWidth="1"/>
    <col min="7940" max="7948" width="3.625" customWidth="1"/>
    <col min="7949" max="7949" width="4.875" customWidth="1"/>
    <col min="7950" max="7952" width="3.625" customWidth="1"/>
    <col min="7953" max="7955" width="4.125" customWidth="1"/>
    <col min="7956" max="7963" width="3.625" customWidth="1"/>
    <col min="7964" max="7964" width="3.75" customWidth="1"/>
    <col min="7965" max="7965" width="3.625" customWidth="1"/>
    <col min="7966" max="7966" width="0" hidden="1" customWidth="1"/>
    <col min="7967" max="8180" width="3.625" customWidth="1"/>
    <col min="8193" max="8193" width="3.625" customWidth="1"/>
    <col min="8194" max="8194" width="5.5" customWidth="1"/>
    <col min="8195" max="8195" width="5" customWidth="1"/>
    <col min="8196" max="8204" width="3.625" customWidth="1"/>
    <col min="8205" max="8205" width="4.875" customWidth="1"/>
    <col min="8206" max="8208" width="3.625" customWidth="1"/>
    <col min="8209" max="8211" width="4.125" customWidth="1"/>
    <col min="8212" max="8219" width="3.625" customWidth="1"/>
    <col min="8220" max="8220" width="3.75" customWidth="1"/>
    <col min="8221" max="8221" width="3.625" customWidth="1"/>
    <col min="8222" max="8222" width="0" hidden="1" customWidth="1"/>
    <col min="8223" max="8436" width="3.625" customWidth="1"/>
    <col min="8449" max="8449" width="3.625" customWidth="1"/>
    <col min="8450" max="8450" width="5.5" customWidth="1"/>
    <col min="8451" max="8451" width="5" customWidth="1"/>
    <col min="8452" max="8460" width="3.625" customWidth="1"/>
    <col min="8461" max="8461" width="4.875" customWidth="1"/>
    <col min="8462" max="8464" width="3.625" customWidth="1"/>
    <col min="8465" max="8467" width="4.125" customWidth="1"/>
    <col min="8468" max="8475" width="3.625" customWidth="1"/>
    <col min="8476" max="8476" width="3.75" customWidth="1"/>
    <col min="8477" max="8477" width="3.625" customWidth="1"/>
    <col min="8478" max="8478" width="0" hidden="1" customWidth="1"/>
    <col min="8479" max="8692" width="3.625" customWidth="1"/>
    <col min="8705" max="8705" width="3.625" customWidth="1"/>
    <col min="8706" max="8706" width="5.5" customWidth="1"/>
    <col min="8707" max="8707" width="5" customWidth="1"/>
    <col min="8708" max="8716" width="3.625" customWidth="1"/>
    <col min="8717" max="8717" width="4.875" customWidth="1"/>
    <col min="8718" max="8720" width="3.625" customWidth="1"/>
    <col min="8721" max="8723" width="4.125" customWidth="1"/>
    <col min="8724" max="8731" width="3.625" customWidth="1"/>
    <col min="8732" max="8732" width="3.75" customWidth="1"/>
    <col min="8733" max="8733" width="3.625" customWidth="1"/>
    <col min="8734" max="8734" width="0" hidden="1" customWidth="1"/>
    <col min="8735" max="8948" width="3.625" customWidth="1"/>
    <col min="8961" max="8961" width="3.625" customWidth="1"/>
    <col min="8962" max="8962" width="5.5" customWidth="1"/>
    <col min="8963" max="8963" width="5" customWidth="1"/>
    <col min="8964" max="8972" width="3.625" customWidth="1"/>
    <col min="8973" max="8973" width="4.875" customWidth="1"/>
    <col min="8974" max="8976" width="3.625" customWidth="1"/>
    <col min="8977" max="8979" width="4.125" customWidth="1"/>
    <col min="8980" max="8987" width="3.625" customWidth="1"/>
    <col min="8988" max="8988" width="3.75" customWidth="1"/>
    <col min="8989" max="8989" width="3.625" customWidth="1"/>
    <col min="8990" max="8990" width="0" hidden="1" customWidth="1"/>
    <col min="8991" max="9204" width="3.625" customWidth="1"/>
    <col min="9217" max="9217" width="3.625" customWidth="1"/>
    <col min="9218" max="9218" width="5.5" customWidth="1"/>
    <col min="9219" max="9219" width="5" customWidth="1"/>
    <col min="9220" max="9228" width="3.625" customWidth="1"/>
    <col min="9229" max="9229" width="4.875" customWidth="1"/>
    <col min="9230" max="9232" width="3.625" customWidth="1"/>
    <col min="9233" max="9235" width="4.125" customWidth="1"/>
    <col min="9236" max="9243" width="3.625" customWidth="1"/>
    <col min="9244" max="9244" width="3.75" customWidth="1"/>
    <col min="9245" max="9245" width="3.625" customWidth="1"/>
    <col min="9246" max="9246" width="0" hidden="1" customWidth="1"/>
    <col min="9247" max="9460" width="3.625" customWidth="1"/>
    <col min="9473" max="9473" width="3.625" customWidth="1"/>
    <col min="9474" max="9474" width="5.5" customWidth="1"/>
    <col min="9475" max="9475" width="5" customWidth="1"/>
    <col min="9476" max="9484" width="3.625" customWidth="1"/>
    <col min="9485" max="9485" width="4.875" customWidth="1"/>
    <col min="9486" max="9488" width="3.625" customWidth="1"/>
    <col min="9489" max="9491" width="4.125" customWidth="1"/>
    <col min="9492" max="9499" width="3.625" customWidth="1"/>
    <col min="9500" max="9500" width="3.75" customWidth="1"/>
    <col min="9501" max="9501" width="3.625" customWidth="1"/>
    <col min="9502" max="9502" width="0" hidden="1" customWidth="1"/>
    <col min="9503" max="9716" width="3.625" customWidth="1"/>
    <col min="9729" max="9729" width="3.625" customWidth="1"/>
    <col min="9730" max="9730" width="5.5" customWidth="1"/>
    <col min="9731" max="9731" width="5" customWidth="1"/>
    <col min="9732" max="9740" width="3.625" customWidth="1"/>
    <col min="9741" max="9741" width="4.875" customWidth="1"/>
    <col min="9742" max="9744" width="3.625" customWidth="1"/>
    <col min="9745" max="9747" width="4.125" customWidth="1"/>
    <col min="9748" max="9755" width="3.625" customWidth="1"/>
    <col min="9756" max="9756" width="3.75" customWidth="1"/>
    <col min="9757" max="9757" width="3.625" customWidth="1"/>
    <col min="9758" max="9758" width="0" hidden="1" customWidth="1"/>
    <col min="9759" max="9972" width="3.625" customWidth="1"/>
    <col min="9985" max="9985" width="3.625" customWidth="1"/>
    <col min="9986" max="9986" width="5.5" customWidth="1"/>
    <col min="9987" max="9987" width="5" customWidth="1"/>
    <col min="9988" max="9996" width="3.625" customWidth="1"/>
    <col min="9997" max="9997" width="4.875" customWidth="1"/>
    <col min="9998" max="10000" width="3.625" customWidth="1"/>
    <col min="10001" max="10003" width="4.125" customWidth="1"/>
    <col min="10004" max="10011" width="3.625" customWidth="1"/>
    <col min="10012" max="10012" width="3.75" customWidth="1"/>
    <col min="10013" max="10013" width="3.625" customWidth="1"/>
    <col min="10014" max="10014" width="0" hidden="1" customWidth="1"/>
    <col min="10015" max="10228" width="3.625" customWidth="1"/>
    <col min="10241" max="10241" width="3.625" customWidth="1"/>
    <col min="10242" max="10242" width="5.5" customWidth="1"/>
    <col min="10243" max="10243" width="5" customWidth="1"/>
    <col min="10244" max="10252" width="3.625" customWidth="1"/>
    <col min="10253" max="10253" width="4.875" customWidth="1"/>
    <col min="10254" max="10256" width="3.625" customWidth="1"/>
    <col min="10257" max="10259" width="4.125" customWidth="1"/>
    <col min="10260" max="10267" width="3.625" customWidth="1"/>
    <col min="10268" max="10268" width="3.75" customWidth="1"/>
    <col min="10269" max="10269" width="3.625" customWidth="1"/>
    <col min="10270" max="10270" width="0" hidden="1" customWidth="1"/>
    <col min="10271" max="10484" width="3.625" customWidth="1"/>
    <col min="10497" max="10497" width="3.625" customWidth="1"/>
    <col min="10498" max="10498" width="5.5" customWidth="1"/>
    <col min="10499" max="10499" width="5" customWidth="1"/>
    <col min="10500" max="10508" width="3.625" customWidth="1"/>
    <col min="10509" max="10509" width="4.875" customWidth="1"/>
    <col min="10510" max="10512" width="3.625" customWidth="1"/>
    <col min="10513" max="10515" width="4.125" customWidth="1"/>
    <col min="10516" max="10523" width="3.625" customWidth="1"/>
    <col min="10524" max="10524" width="3.75" customWidth="1"/>
    <col min="10525" max="10525" width="3.625" customWidth="1"/>
    <col min="10526" max="10526" width="0" hidden="1" customWidth="1"/>
    <col min="10527" max="10740" width="3.625" customWidth="1"/>
    <col min="10753" max="10753" width="3.625" customWidth="1"/>
    <col min="10754" max="10754" width="5.5" customWidth="1"/>
    <col min="10755" max="10755" width="5" customWidth="1"/>
    <col min="10756" max="10764" width="3.625" customWidth="1"/>
    <col min="10765" max="10765" width="4.875" customWidth="1"/>
    <col min="10766" max="10768" width="3.625" customWidth="1"/>
    <col min="10769" max="10771" width="4.125" customWidth="1"/>
    <col min="10772" max="10779" width="3.625" customWidth="1"/>
    <col min="10780" max="10780" width="3.75" customWidth="1"/>
    <col min="10781" max="10781" width="3.625" customWidth="1"/>
    <col min="10782" max="10782" width="0" hidden="1" customWidth="1"/>
    <col min="10783" max="10996" width="3.625" customWidth="1"/>
    <col min="11009" max="11009" width="3.625" customWidth="1"/>
    <col min="11010" max="11010" width="5.5" customWidth="1"/>
    <col min="11011" max="11011" width="5" customWidth="1"/>
    <col min="11012" max="11020" width="3.625" customWidth="1"/>
    <col min="11021" max="11021" width="4.875" customWidth="1"/>
    <col min="11022" max="11024" width="3.625" customWidth="1"/>
    <col min="11025" max="11027" width="4.125" customWidth="1"/>
    <col min="11028" max="11035" width="3.625" customWidth="1"/>
    <col min="11036" max="11036" width="3.75" customWidth="1"/>
    <col min="11037" max="11037" width="3.625" customWidth="1"/>
    <col min="11038" max="11038" width="0" hidden="1" customWidth="1"/>
    <col min="11039" max="11252" width="3.625" customWidth="1"/>
    <col min="11265" max="11265" width="3.625" customWidth="1"/>
    <col min="11266" max="11266" width="5.5" customWidth="1"/>
    <col min="11267" max="11267" width="5" customWidth="1"/>
    <col min="11268" max="11276" width="3.625" customWidth="1"/>
    <col min="11277" max="11277" width="4.875" customWidth="1"/>
    <col min="11278" max="11280" width="3.625" customWidth="1"/>
    <col min="11281" max="11283" width="4.125" customWidth="1"/>
    <col min="11284" max="11291" width="3.625" customWidth="1"/>
    <col min="11292" max="11292" width="3.75" customWidth="1"/>
    <col min="11293" max="11293" width="3.625" customWidth="1"/>
    <col min="11294" max="11294" width="0" hidden="1" customWidth="1"/>
    <col min="11295" max="11508" width="3.625" customWidth="1"/>
    <col min="11521" max="11521" width="3.625" customWidth="1"/>
    <col min="11522" max="11522" width="5.5" customWidth="1"/>
    <col min="11523" max="11523" width="5" customWidth="1"/>
    <col min="11524" max="11532" width="3.625" customWidth="1"/>
    <col min="11533" max="11533" width="4.875" customWidth="1"/>
    <col min="11534" max="11536" width="3.625" customWidth="1"/>
    <col min="11537" max="11539" width="4.125" customWidth="1"/>
    <col min="11540" max="11547" width="3.625" customWidth="1"/>
    <col min="11548" max="11548" width="3.75" customWidth="1"/>
    <col min="11549" max="11549" width="3.625" customWidth="1"/>
    <col min="11550" max="11550" width="0" hidden="1" customWidth="1"/>
    <col min="11551" max="11764" width="3.625" customWidth="1"/>
    <col min="11777" max="11777" width="3.625" customWidth="1"/>
    <col min="11778" max="11778" width="5.5" customWidth="1"/>
    <col min="11779" max="11779" width="5" customWidth="1"/>
    <col min="11780" max="11788" width="3.625" customWidth="1"/>
    <col min="11789" max="11789" width="4.875" customWidth="1"/>
    <col min="11790" max="11792" width="3.625" customWidth="1"/>
    <col min="11793" max="11795" width="4.125" customWidth="1"/>
    <col min="11796" max="11803" width="3.625" customWidth="1"/>
    <col min="11804" max="11804" width="3.75" customWidth="1"/>
    <col min="11805" max="11805" width="3.625" customWidth="1"/>
    <col min="11806" max="11806" width="0" hidden="1" customWidth="1"/>
    <col min="11807" max="12020" width="3.625" customWidth="1"/>
    <col min="12033" max="12033" width="3.625" customWidth="1"/>
    <col min="12034" max="12034" width="5.5" customWidth="1"/>
    <col min="12035" max="12035" width="5" customWidth="1"/>
    <col min="12036" max="12044" width="3.625" customWidth="1"/>
    <col min="12045" max="12045" width="4.875" customWidth="1"/>
    <col min="12046" max="12048" width="3.625" customWidth="1"/>
    <col min="12049" max="12051" width="4.125" customWidth="1"/>
    <col min="12052" max="12059" width="3.625" customWidth="1"/>
    <col min="12060" max="12060" width="3.75" customWidth="1"/>
    <col min="12061" max="12061" width="3.625" customWidth="1"/>
    <col min="12062" max="12062" width="0" hidden="1" customWidth="1"/>
    <col min="12063" max="12276" width="3.625" customWidth="1"/>
    <col min="12289" max="12289" width="3.625" customWidth="1"/>
    <col min="12290" max="12290" width="5.5" customWidth="1"/>
    <col min="12291" max="12291" width="5" customWidth="1"/>
    <col min="12292" max="12300" width="3.625" customWidth="1"/>
    <col min="12301" max="12301" width="4.875" customWidth="1"/>
    <col min="12302" max="12304" width="3.625" customWidth="1"/>
    <col min="12305" max="12307" width="4.125" customWidth="1"/>
    <col min="12308" max="12315" width="3.625" customWidth="1"/>
    <col min="12316" max="12316" width="3.75" customWidth="1"/>
    <col min="12317" max="12317" width="3.625" customWidth="1"/>
    <col min="12318" max="12318" width="0" hidden="1" customWidth="1"/>
    <col min="12319" max="12532" width="3.625" customWidth="1"/>
    <col min="12545" max="12545" width="3.625" customWidth="1"/>
    <col min="12546" max="12546" width="5.5" customWidth="1"/>
    <col min="12547" max="12547" width="5" customWidth="1"/>
    <col min="12548" max="12556" width="3.625" customWidth="1"/>
    <col min="12557" max="12557" width="4.875" customWidth="1"/>
    <col min="12558" max="12560" width="3.625" customWidth="1"/>
    <col min="12561" max="12563" width="4.125" customWidth="1"/>
    <col min="12564" max="12571" width="3.625" customWidth="1"/>
    <col min="12572" max="12572" width="3.75" customWidth="1"/>
    <col min="12573" max="12573" width="3.625" customWidth="1"/>
    <col min="12574" max="12574" width="0" hidden="1" customWidth="1"/>
    <col min="12575" max="12788" width="3.625" customWidth="1"/>
    <col min="12801" max="12801" width="3.625" customWidth="1"/>
    <col min="12802" max="12802" width="5.5" customWidth="1"/>
    <col min="12803" max="12803" width="5" customWidth="1"/>
    <col min="12804" max="12812" width="3.625" customWidth="1"/>
    <col min="12813" max="12813" width="4.875" customWidth="1"/>
    <col min="12814" max="12816" width="3.625" customWidth="1"/>
    <col min="12817" max="12819" width="4.125" customWidth="1"/>
    <col min="12820" max="12827" width="3.625" customWidth="1"/>
    <col min="12828" max="12828" width="3.75" customWidth="1"/>
    <col min="12829" max="12829" width="3.625" customWidth="1"/>
    <col min="12830" max="12830" width="0" hidden="1" customWidth="1"/>
    <col min="12831" max="13044" width="3.625" customWidth="1"/>
    <col min="13057" max="13057" width="3.625" customWidth="1"/>
    <col min="13058" max="13058" width="5.5" customWidth="1"/>
    <col min="13059" max="13059" width="5" customWidth="1"/>
    <col min="13060" max="13068" width="3.625" customWidth="1"/>
    <col min="13069" max="13069" width="4.875" customWidth="1"/>
    <col min="13070" max="13072" width="3.625" customWidth="1"/>
    <col min="13073" max="13075" width="4.125" customWidth="1"/>
    <col min="13076" max="13083" width="3.625" customWidth="1"/>
    <col min="13084" max="13084" width="3.75" customWidth="1"/>
    <col min="13085" max="13085" width="3.625" customWidth="1"/>
    <col min="13086" max="13086" width="0" hidden="1" customWidth="1"/>
    <col min="13087" max="13300" width="3.625" customWidth="1"/>
    <col min="13313" max="13313" width="3.625" customWidth="1"/>
    <col min="13314" max="13314" width="5.5" customWidth="1"/>
    <col min="13315" max="13315" width="5" customWidth="1"/>
    <col min="13316" max="13324" width="3.625" customWidth="1"/>
    <col min="13325" max="13325" width="4.875" customWidth="1"/>
    <col min="13326" max="13328" width="3.625" customWidth="1"/>
    <col min="13329" max="13331" width="4.125" customWidth="1"/>
    <col min="13332" max="13339" width="3.625" customWidth="1"/>
    <col min="13340" max="13340" width="3.75" customWidth="1"/>
    <col min="13341" max="13341" width="3.625" customWidth="1"/>
    <col min="13342" max="13342" width="0" hidden="1" customWidth="1"/>
    <col min="13343" max="13556" width="3.625" customWidth="1"/>
    <col min="13569" max="13569" width="3.625" customWidth="1"/>
    <col min="13570" max="13570" width="5.5" customWidth="1"/>
    <col min="13571" max="13571" width="5" customWidth="1"/>
    <col min="13572" max="13580" width="3.625" customWidth="1"/>
    <col min="13581" max="13581" width="4.875" customWidth="1"/>
    <col min="13582" max="13584" width="3.625" customWidth="1"/>
    <col min="13585" max="13587" width="4.125" customWidth="1"/>
    <col min="13588" max="13595" width="3.625" customWidth="1"/>
    <col min="13596" max="13596" width="3.75" customWidth="1"/>
    <col min="13597" max="13597" width="3.625" customWidth="1"/>
    <col min="13598" max="13598" width="0" hidden="1" customWidth="1"/>
    <col min="13599" max="13812" width="3.625" customWidth="1"/>
    <col min="13825" max="13825" width="3.625" customWidth="1"/>
    <col min="13826" max="13826" width="5.5" customWidth="1"/>
    <col min="13827" max="13827" width="5" customWidth="1"/>
    <col min="13828" max="13836" width="3.625" customWidth="1"/>
    <col min="13837" max="13837" width="4.875" customWidth="1"/>
    <col min="13838" max="13840" width="3.625" customWidth="1"/>
    <col min="13841" max="13843" width="4.125" customWidth="1"/>
    <col min="13844" max="13851" width="3.625" customWidth="1"/>
    <col min="13852" max="13852" width="3.75" customWidth="1"/>
    <col min="13853" max="13853" width="3.625" customWidth="1"/>
    <col min="13854" max="13854" width="0" hidden="1" customWidth="1"/>
    <col min="13855" max="14068" width="3.625" customWidth="1"/>
    <col min="14081" max="14081" width="3.625" customWidth="1"/>
    <col min="14082" max="14082" width="5.5" customWidth="1"/>
    <col min="14083" max="14083" width="5" customWidth="1"/>
    <col min="14084" max="14092" width="3.625" customWidth="1"/>
    <col min="14093" max="14093" width="4.875" customWidth="1"/>
    <col min="14094" max="14096" width="3.625" customWidth="1"/>
    <col min="14097" max="14099" width="4.125" customWidth="1"/>
    <col min="14100" max="14107" width="3.625" customWidth="1"/>
    <col min="14108" max="14108" width="3.75" customWidth="1"/>
    <col min="14109" max="14109" width="3.625" customWidth="1"/>
    <col min="14110" max="14110" width="0" hidden="1" customWidth="1"/>
    <col min="14111" max="14324" width="3.625" customWidth="1"/>
    <col min="14337" max="14337" width="3.625" customWidth="1"/>
    <col min="14338" max="14338" width="5.5" customWidth="1"/>
    <col min="14339" max="14339" width="5" customWidth="1"/>
    <col min="14340" max="14348" width="3.625" customWidth="1"/>
    <col min="14349" max="14349" width="4.875" customWidth="1"/>
    <col min="14350" max="14352" width="3.625" customWidth="1"/>
    <col min="14353" max="14355" width="4.125" customWidth="1"/>
    <col min="14356" max="14363" width="3.625" customWidth="1"/>
    <col min="14364" max="14364" width="3.75" customWidth="1"/>
    <col min="14365" max="14365" width="3.625" customWidth="1"/>
    <col min="14366" max="14366" width="0" hidden="1" customWidth="1"/>
    <col min="14367" max="14580" width="3.625" customWidth="1"/>
    <col min="14593" max="14593" width="3.625" customWidth="1"/>
    <col min="14594" max="14594" width="5.5" customWidth="1"/>
    <col min="14595" max="14595" width="5" customWidth="1"/>
    <col min="14596" max="14604" width="3.625" customWidth="1"/>
    <col min="14605" max="14605" width="4.875" customWidth="1"/>
    <col min="14606" max="14608" width="3.625" customWidth="1"/>
    <col min="14609" max="14611" width="4.125" customWidth="1"/>
    <col min="14612" max="14619" width="3.625" customWidth="1"/>
    <col min="14620" max="14620" width="3.75" customWidth="1"/>
    <col min="14621" max="14621" width="3.625" customWidth="1"/>
    <col min="14622" max="14622" width="0" hidden="1" customWidth="1"/>
    <col min="14623" max="14836" width="3.625" customWidth="1"/>
    <col min="14849" max="14849" width="3.625" customWidth="1"/>
    <col min="14850" max="14850" width="5.5" customWidth="1"/>
    <col min="14851" max="14851" width="5" customWidth="1"/>
    <col min="14852" max="14860" width="3.625" customWidth="1"/>
    <col min="14861" max="14861" width="4.875" customWidth="1"/>
    <col min="14862" max="14864" width="3.625" customWidth="1"/>
    <col min="14865" max="14867" width="4.125" customWidth="1"/>
    <col min="14868" max="14875" width="3.625" customWidth="1"/>
    <col min="14876" max="14876" width="3.75" customWidth="1"/>
    <col min="14877" max="14877" width="3.625" customWidth="1"/>
    <col min="14878" max="14878" width="0" hidden="1" customWidth="1"/>
    <col min="14879" max="15092" width="3.625" customWidth="1"/>
    <col min="15105" max="15105" width="3.625" customWidth="1"/>
    <col min="15106" max="15106" width="5.5" customWidth="1"/>
    <col min="15107" max="15107" width="5" customWidth="1"/>
    <col min="15108" max="15116" width="3.625" customWidth="1"/>
    <col min="15117" max="15117" width="4.875" customWidth="1"/>
    <col min="15118" max="15120" width="3.625" customWidth="1"/>
    <col min="15121" max="15123" width="4.125" customWidth="1"/>
    <col min="15124" max="15131" width="3.625" customWidth="1"/>
    <col min="15132" max="15132" width="3.75" customWidth="1"/>
    <col min="15133" max="15133" width="3.625" customWidth="1"/>
    <col min="15134" max="15134" width="0" hidden="1" customWidth="1"/>
    <col min="15135" max="15348" width="3.625" customWidth="1"/>
    <col min="15361" max="15361" width="3.625" customWidth="1"/>
    <col min="15362" max="15362" width="5.5" customWidth="1"/>
    <col min="15363" max="15363" width="5" customWidth="1"/>
    <col min="15364" max="15372" width="3.625" customWidth="1"/>
    <col min="15373" max="15373" width="4.875" customWidth="1"/>
    <col min="15374" max="15376" width="3.625" customWidth="1"/>
    <col min="15377" max="15379" width="4.125" customWidth="1"/>
    <col min="15380" max="15387" width="3.625" customWidth="1"/>
    <col min="15388" max="15388" width="3.75" customWidth="1"/>
    <col min="15389" max="15389" width="3.625" customWidth="1"/>
    <col min="15390" max="15390" width="0" hidden="1" customWidth="1"/>
    <col min="15391" max="15604" width="3.625" customWidth="1"/>
    <col min="15617" max="15617" width="3.625" customWidth="1"/>
    <col min="15618" max="15618" width="5.5" customWidth="1"/>
    <col min="15619" max="15619" width="5" customWidth="1"/>
    <col min="15620" max="15628" width="3.625" customWidth="1"/>
    <col min="15629" max="15629" width="4.875" customWidth="1"/>
    <col min="15630" max="15632" width="3.625" customWidth="1"/>
    <col min="15633" max="15635" width="4.125" customWidth="1"/>
    <col min="15636" max="15643" width="3.625" customWidth="1"/>
    <col min="15644" max="15644" width="3.75" customWidth="1"/>
    <col min="15645" max="15645" width="3.625" customWidth="1"/>
    <col min="15646" max="15646" width="0" hidden="1" customWidth="1"/>
    <col min="15647" max="15860" width="3.625" customWidth="1"/>
    <col min="15873" max="15873" width="3.625" customWidth="1"/>
    <col min="15874" max="15874" width="5.5" customWidth="1"/>
    <col min="15875" max="15875" width="5" customWidth="1"/>
    <col min="15876" max="15884" width="3.625" customWidth="1"/>
    <col min="15885" max="15885" width="4.875" customWidth="1"/>
    <col min="15886" max="15888" width="3.625" customWidth="1"/>
    <col min="15889" max="15891" width="4.125" customWidth="1"/>
    <col min="15892" max="15899" width="3.625" customWidth="1"/>
    <col min="15900" max="15900" width="3.75" customWidth="1"/>
    <col min="15901" max="15901" width="3.625" customWidth="1"/>
    <col min="15902" max="15902" width="0" hidden="1" customWidth="1"/>
    <col min="15903" max="16116" width="3.625" customWidth="1"/>
    <col min="16129" max="16129" width="3.625" customWidth="1"/>
    <col min="16130" max="16130" width="5.5" customWidth="1"/>
    <col min="16131" max="16131" width="5" customWidth="1"/>
    <col min="16132" max="16140" width="3.625" customWidth="1"/>
    <col min="16141" max="16141" width="4.875" customWidth="1"/>
    <col min="16142" max="16144" width="3.625" customWidth="1"/>
    <col min="16145" max="16147" width="4.125" customWidth="1"/>
    <col min="16148" max="16155" width="3.625" customWidth="1"/>
    <col min="16156" max="16156" width="3.75" customWidth="1"/>
    <col min="16157" max="16157" width="3.625" customWidth="1"/>
    <col min="16158" max="16158" width="0" hidden="1" customWidth="1"/>
    <col min="16159" max="16372" width="3.625" customWidth="1"/>
  </cols>
  <sheetData>
    <row r="1" spans="1:30" s="2" customFormat="1" ht="14.25" x14ac:dyDescent="0.15">
      <c r="A1" s="373" t="s">
        <v>0</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row>
    <row r="2" spans="1:30" s="3" customFormat="1" x14ac:dyDescent="0.15"/>
    <row r="3" spans="1:30" s="3" customFormat="1" x14ac:dyDescent="0.15"/>
    <row r="4" spans="1:30" s="3" customFormat="1" ht="15" customHeight="1" x14ac:dyDescent="0.15">
      <c r="A4" s="374" t="s">
        <v>1</v>
      </c>
      <c r="B4" s="374"/>
      <c r="C4" s="374"/>
      <c r="D4" s="374"/>
      <c r="E4" s="374"/>
      <c r="F4" s="374"/>
      <c r="G4" s="374"/>
      <c r="H4" s="374"/>
      <c r="I4" s="374"/>
      <c r="J4" s="374"/>
      <c r="K4" s="374"/>
      <c r="L4" s="374"/>
      <c r="M4" s="374"/>
      <c r="N4" s="374"/>
      <c r="O4" s="374"/>
      <c r="P4" s="374"/>
      <c r="Q4" s="374"/>
      <c r="R4" s="374"/>
      <c r="S4" s="374"/>
      <c r="T4" s="374"/>
      <c r="U4" s="374"/>
      <c r="V4" s="374"/>
      <c r="W4" s="374"/>
      <c r="X4" s="374"/>
      <c r="Y4" s="374"/>
      <c r="Z4" s="374"/>
      <c r="AA4" s="374"/>
      <c r="AB4" s="374"/>
    </row>
    <row r="5" spans="1:30" s="3" customFormat="1" ht="15" customHeight="1" x14ac:dyDescent="0.15">
      <c r="A5" s="374"/>
      <c r="B5" s="374"/>
      <c r="C5" s="374"/>
      <c r="D5" s="374"/>
      <c r="E5" s="374"/>
      <c r="F5" s="374"/>
      <c r="G5" s="374"/>
      <c r="H5" s="374"/>
      <c r="I5" s="374"/>
      <c r="J5" s="374"/>
      <c r="K5" s="374"/>
      <c r="L5" s="374"/>
      <c r="M5" s="374"/>
      <c r="N5" s="374"/>
      <c r="O5" s="374"/>
      <c r="P5" s="374"/>
      <c r="Q5" s="374"/>
      <c r="R5" s="374"/>
      <c r="S5" s="374"/>
      <c r="T5" s="374"/>
      <c r="U5" s="374"/>
      <c r="V5" s="374"/>
      <c r="W5" s="374"/>
      <c r="X5" s="374"/>
      <c r="Y5" s="374"/>
      <c r="Z5" s="374"/>
      <c r="AA5" s="374"/>
      <c r="AB5" s="374"/>
    </row>
    <row r="6" spans="1:30" s="3" customFormat="1" ht="29.25" customHeight="1" x14ac:dyDescent="0.15"/>
    <row r="7" spans="1:30" s="3" customFormat="1" ht="23.25" customHeight="1" x14ac:dyDescent="0.15">
      <c r="E7" s="373" t="s">
        <v>2</v>
      </c>
      <c r="F7" s="373"/>
      <c r="G7" s="373"/>
      <c r="H7" s="375"/>
      <c r="I7" s="375"/>
      <c r="J7" s="375"/>
      <c r="K7" s="375"/>
      <c r="L7" s="375"/>
      <c r="M7" s="375"/>
      <c r="N7" s="375"/>
      <c r="O7" s="375"/>
      <c r="P7" s="375"/>
      <c r="Q7" s="375"/>
      <c r="R7" s="375"/>
      <c r="S7" s="375"/>
      <c r="T7" s="375"/>
      <c r="U7" s="375"/>
      <c r="V7" s="375"/>
      <c r="W7" s="375"/>
    </row>
    <row r="8" spans="1:30" s="3" customFormat="1" ht="21" customHeight="1" x14ac:dyDescent="0.15">
      <c r="E8" s="373" t="s">
        <v>3</v>
      </c>
      <c r="F8" s="373"/>
      <c r="G8" s="373"/>
      <c r="H8" s="376"/>
      <c r="I8" s="376"/>
      <c r="J8" s="376"/>
      <c r="K8" s="376"/>
      <c r="L8" s="376"/>
      <c r="M8" s="376"/>
      <c r="N8" s="376"/>
      <c r="O8" s="376"/>
      <c r="P8" s="376"/>
      <c r="Q8" s="376"/>
      <c r="R8" s="376"/>
      <c r="S8" s="376"/>
      <c r="T8" s="376"/>
      <c r="U8" s="376"/>
      <c r="V8" s="376"/>
      <c r="W8" s="376"/>
    </row>
    <row r="9" spans="1:30" s="3" customFormat="1" ht="16.899999999999999" customHeight="1" x14ac:dyDescent="0.15">
      <c r="E9" s="373"/>
      <c r="F9" s="373"/>
      <c r="G9" s="373"/>
      <c r="H9" s="377"/>
      <c r="I9" s="377"/>
      <c r="J9" s="377"/>
      <c r="K9" s="377"/>
      <c r="L9" s="377"/>
      <c r="M9" s="377"/>
      <c r="N9" s="377"/>
      <c r="O9" s="377"/>
      <c r="P9" s="377"/>
      <c r="Q9" s="377"/>
      <c r="R9" s="377"/>
      <c r="S9" s="377"/>
      <c r="T9" s="377"/>
      <c r="U9" s="377"/>
      <c r="V9" s="377"/>
      <c r="W9" s="377"/>
    </row>
    <row r="10" spans="1:30" s="3" customFormat="1" ht="21" customHeight="1" x14ac:dyDescent="0.15">
      <c r="E10" s="373" t="s">
        <v>4</v>
      </c>
      <c r="F10" s="373"/>
      <c r="G10" s="373"/>
      <c r="H10" s="375"/>
      <c r="I10" s="375"/>
      <c r="J10" s="375"/>
      <c r="K10" s="375"/>
      <c r="L10" s="375"/>
      <c r="M10" s="375"/>
      <c r="N10" s="375"/>
      <c r="O10" s="375"/>
      <c r="P10" s="375"/>
      <c r="Q10" s="375"/>
      <c r="R10" s="375"/>
      <c r="S10" s="375"/>
      <c r="T10" s="375"/>
      <c r="U10" s="375"/>
      <c r="V10" s="375"/>
      <c r="W10" s="375"/>
    </row>
    <row r="11" spans="1:30" s="3" customFormat="1" ht="12.75" customHeight="1" x14ac:dyDescent="0.15"/>
    <row r="12" spans="1:30" s="3" customFormat="1" ht="8.25" customHeight="1" x14ac:dyDescent="0.15"/>
    <row r="13" spans="1:30" s="3" customFormat="1" ht="15.6" customHeight="1" x14ac:dyDescent="0.15">
      <c r="A13" s="5"/>
      <c r="B13" s="378" t="s">
        <v>5</v>
      </c>
      <c r="C13" s="378"/>
      <c r="D13" s="378"/>
      <c r="E13" s="379" t="s">
        <v>6</v>
      </c>
      <c r="F13" s="379"/>
      <c r="G13" s="379"/>
      <c r="H13" s="379"/>
      <c r="I13" s="379" t="s">
        <v>7</v>
      </c>
      <c r="J13" s="379"/>
      <c r="K13" s="379"/>
      <c r="L13" s="379"/>
      <c r="M13" s="379" t="s">
        <v>8</v>
      </c>
      <c r="N13" s="379"/>
      <c r="O13" s="379"/>
      <c r="P13" s="379"/>
      <c r="Q13" s="379" t="s">
        <v>9</v>
      </c>
      <c r="R13" s="379"/>
      <c r="S13" s="379"/>
      <c r="T13" s="379" t="s">
        <v>10</v>
      </c>
      <c r="U13" s="379"/>
      <c r="V13" s="379"/>
      <c r="W13" s="379"/>
      <c r="X13" s="379"/>
      <c r="Y13" s="378" t="s">
        <v>11</v>
      </c>
      <c r="Z13" s="378"/>
      <c r="AA13" s="378"/>
      <c r="AB13" s="5"/>
    </row>
    <row r="14" spans="1:30" s="3" customFormat="1" ht="6" customHeight="1" x14ac:dyDescent="0.15">
      <c r="B14" s="6"/>
      <c r="C14" s="6"/>
      <c r="D14" s="6"/>
      <c r="E14" s="6"/>
      <c r="F14" s="6"/>
      <c r="G14" s="6"/>
      <c r="H14" s="6"/>
      <c r="I14" s="6"/>
      <c r="J14" s="6"/>
      <c r="K14" s="6"/>
      <c r="L14" s="6"/>
      <c r="M14" s="6"/>
      <c r="N14" s="6"/>
      <c r="O14" s="6"/>
      <c r="P14" s="6"/>
      <c r="Q14" s="6"/>
      <c r="R14" s="6"/>
      <c r="S14" s="6"/>
      <c r="T14" s="6"/>
      <c r="U14" s="6"/>
      <c r="V14" s="6"/>
      <c r="W14" s="6"/>
      <c r="X14" s="6"/>
      <c r="Y14" s="6"/>
      <c r="Z14" s="6"/>
      <c r="AA14" s="6"/>
    </row>
    <row r="15" spans="1:30" s="3" customFormat="1" ht="20.100000000000001" customHeight="1" x14ac:dyDescent="0.15">
      <c r="B15" s="371"/>
      <c r="C15" s="371"/>
      <c r="D15" s="371"/>
      <c r="E15" s="372"/>
      <c r="F15" s="372"/>
      <c r="G15" s="372"/>
      <c r="H15" s="372"/>
      <c r="I15" s="372"/>
      <c r="J15" s="372"/>
      <c r="K15" s="372"/>
      <c r="L15" s="372"/>
      <c r="M15" s="372"/>
      <c r="N15" s="372"/>
      <c r="O15" s="372"/>
      <c r="P15" s="372"/>
      <c r="Q15" s="372"/>
      <c r="R15" s="372"/>
      <c r="S15" s="372"/>
      <c r="T15" s="372" t="str">
        <f>IF(AD15=0,"",AD15)</f>
        <v/>
      </c>
      <c r="U15" s="372"/>
      <c r="V15" s="372"/>
      <c r="W15" s="372"/>
      <c r="X15" s="372"/>
      <c r="Y15" s="370"/>
      <c r="Z15" s="370"/>
      <c r="AA15" s="370"/>
      <c r="AD15" s="8">
        <f>E15-I15+M15+Q15</f>
        <v>0</v>
      </c>
    </row>
    <row r="16" spans="1:30" s="3" customFormat="1" ht="20.100000000000001" customHeight="1" x14ac:dyDescent="0.15">
      <c r="B16" s="371"/>
      <c r="C16" s="371"/>
      <c r="D16" s="371"/>
      <c r="E16" s="372"/>
      <c r="F16" s="372"/>
      <c r="G16" s="372"/>
      <c r="H16" s="372"/>
      <c r="I16" s="372"/>
      <c r="J16" s="372"/>
      <c r="K16" s="372"/>
      <c r="L16" s="372"/>
      <c r="M16" s="372"/>
      <c r="N16" s="372"/>
      <c r="O16" s="372"/>
      <c r="P16" s="372"/>
      <c r="Q16" s="372"/>
      <c r="R16" s="372"/>
      <c r="S16" s="372"/>
      <c r="T16" s="372" t="str">
        <f>IF(B16="","",IF(AD16=0,"",AD16))</f>
        <v/>
      </c>
      <c r="U16" s="372"/>
      <c r="V16" s="372"/>
      <c r="W16" s="372"/>
      <c r="X16" s="372"/>
      <c r="Y16" s="370"/>
      <c r="Z16" s="370"/>
      <c r="AA16" s="370"/>
      <c r="AD16" s="8">
        <f>AD15+E16-I16+M16+Q16</f>
        <v>0</v>
      </c>
    </row>
    <row r="17" spans="2:30" s="3" customFormat="1" ht="20.100000000000001" customHeight="1" x14ac:dyDescent="0.15">
      <c r="B17" s="371"/>
      <c r="C17" s="371"/>
      <c r="D17" s="371"/>
      <c r="E17" s="372"/>
      <c r="F17" s="372"/>
      <c r="G17" s="372"/>
      <c r="H17" s="372"/>
      <c r="I17" s="372"/>
      <c r="J17" s="372"/>
      <c r="K17" s="372"/>
      <c r="L17" s="372"/>
      <c r="M17" s="372"/>
      <c r="N17" s="372"/>
      <c r="O17" s="372"/>
      <c r="P17" s="372"/>
      <c r="Q17" s="372"/>
      <c r="R17" s="372"/>
      <c r="S17" s="372"/>
      <c r="T17" s="372" t="str">
        <f>IF(B17="","",IF(AD17=0,"",AD17))</f>
        <v/>
      </c>
      <c r="U17" s="372"/>
      <c r="V17" s="372"/>
      <c r="W17" s="372"/>
      <c r="X17" s="372"/>
      <c r="Y17" s="370"/>
      <c r="Z17" s="370"/>
      <c r="AA17" s="370"/>
      <c r="AD17" s="8">
        <f t="shared" ref="AD17:AD55" si="0">AD16+E17-I17+M17+Q17</f>
        <v>0</v>
      </c>
    </row>
    <row r="18" spans="2:30" s="3" customFormat="1" ht="20.100000000000001" customHeight="1" x14ac:dyDescent="0.15">
      <c r="B18" s="371"/>
      <c r="C18" s="371"/>
      <c r="D18" s="371"/>
      <c r="E18" s="372"/>
      <c r="F18" s="372"/>
      <c r="G18" s="372"/>
      <c r="H18" s="372"/>
      <c r="I18" s="372"/>
      <c r="J18" s="372"/>
      <c r="K18" s="372"/>
      <c r="L18" s="372"/>
      <c r="M18" s="372"/>
      <c r="N18" s="372"/>
      <c r="O18" s="372"/>
      <c r="P18" s="372"/>
      <c r="Q18" s="372"/>
      <c r="R18" s="372"/>
      <c r="S18" s="372"/>
      <c r="T18" s="372" t="str">
        <f t="shared" ref="T18:T55" si="1">IF(B18="","",IF(AD18=0,"",AD18))</f>
        <v/>
      </c>
      <c r="U18" s="372"/>
      <c r="V18" s="372"/>
      <c r="W18" s="372"/>
      <c r="X18" s="372"/>
      <c r="Y18" s="370"/>
      <c r="Z18" s="370"/>
      <c r="AA18" s="370"/>
      <c r="AD18" s="8">
        <f t="shared" si="0"/>
        <v>0</v>
      </c>
    </row>
    <row r="19" spans="2:30" s="3" customFormat="1" ht="20.100000000000001" customHeight="1" x14ac:dyDescent="0.15">
      <c r="B19" s="371"/>
      <c r="C19" s="371"/>
      <c r="D19" s="371"/>
      <c r="E19" s="372"/>
      <c r="F19" s="372"/>
      <c r="G19" s="372"/>
      <c r="H19" s="372"/>
      <c r="I19" s="372"/>
      <c r="J19" s="372"/>
      <c r="K19" s="372"/>
      <c r="L19" s="372"/>
      <c r="M19" s="372"/>
      <c r="N19" s="372"/>
      <c r="O19" s="372"/>
      <c r="P19" s="372"/>
      <c r="Q19" s="372"/>
      <c r="R19" s="372"/>
      <c r="S19" s="372"/>
      <c r="T19" s="372" t="str">
        <f t="shared" si="1"/>
        <v/>
      </c>
      <c r="U19" s="372"/>
      <c r="V19" s="372"/>
      <c r="W19" s="372"/>
      <c r="X19" s="372"/>
      <c r="Y19" s="370"/>
      <c r="Z19" s="370"/>
      <c r="AA19" s="370"/>
      <c r="AD19" s="8">
        <f t="shared" si="0"/>
        <v>0</v>
      </c>
    </row>
    <row r="20" spans="2:30" s="3" customFormat="1" ht="20.100000000000001" customHeight="1" x14ac:dyDescent="0.15">
      <c r="B20" s="371"/>
      <c r="C20" s="371"/>
      <c r="D20" s="371"/>
      <c r="E20" s="372"/>
      <c r="F20" s="372"/>
      <c r="G20" s="372"/>
      <c r="H20" s="372"/>
      <c r="I20" s="372"/>
      <c r="J20" s="372"/>
      <c r="K20" s="372"/>
      <c r="L20" s="372"/>
      <c r="M20" s="372"/>
      <c r="N20" s="372"/>
      <c r="O20" s="372"/>
      <c r="P20" s="372"/>
      <c r="Q20" s="372"/>
      <c r="R20" s="372"/>
      <c r="S20" s="372"/>
      <c r="T20" s="372" t="str">
        <f t="shared" si="1"/>
        <v/>
      </c>
      <c r="U20" s="372"/>
      <c r="V20" s="372"/>
      <c r="W20" s="372"/>
      <c r="X20" s="372"/>
      <c r="Y20" s="370"/>
      <c r="Z20" s="370"/>
      <c r="AA20" s="370"/>
      <c r="AD20" s="8">
        <f t="shared" si="0"/>
        <v>0</v>
      </c>
    </row>
    <row r="21" spans="2:30" s="3" customFormat="1" ht="20.100000000000001" customHeight="1" x14ac:dyDescent="0.15">
      <c r="B21" s="371"/>
      <c r="C21" s="371"/>
      <c r="D21" s="371"/>
      <c r="E21" s="372"/>
      <c r="F21" s="372"/>
      <c r="G21" s="372"/>
      <c r="H21" s="372"/>
      <c r="I21" s="372"/>
      <c r="J21" s="372"/>
      <c r="K21" s="372"/>
      <c r="L21" s="372"/>
      <c r="M21" s="372"/>
      <c r="N21" s="372"/>
      <c r="O21" s="372"/>
      <c r="P21" s="372"/>
      <c r="Q21" s="372"/>
      <c r="R21" s="372"/>
      <c r="S21" s="372"/>
      <c r="T21" s="372" t="str">
        <f t="shared" si="1"/>
        <v/>
      </c>
      <c r="U21" s="372"/>
      <c r="V21" s="372"/>
      <c r="W21" s="372"/>
      <c r="X21" s="372"/>
      <c r="Y21" s="370"/>
      <c r="Z21" s="370"/>
      <c r="AA21" s="370"/>
      <c r="AD21" s="8">
        <f t="shared" si="0"/>
        <v>0</v>
      </c>
    </row>
    <row r="22" spans="2:30" s="3" customFormat="1" ht="20.100000000000001" customHeight="1" x14ac:dyDescent="0.15">
      <c r="B22" s="371"/>
      <c r="C22" s="371"/>
      <c r="D22" s="371"/>
      <c r="E22" s="372"/>
      <c r="F22" s="372"/>
      <c r="G22" s="372"/>
      <c r="H22" s="372"/>
      <c r="I22" s="372"/>
      <c r="J22" s="372"/>
      <c r="K22" s="372"/>
      <c r="L22" s="372"/>
      <c r="M22" s="372"/>
      <c r="N22" s="372"/>
      <c r="O22" s="372"/>
      <c r="P22" s="372"/>
      <c r="Q22" s="372"/>
      <c r="R22" s="372"/>
      <c r="S22" s="372"/>
      <c r="T22" s="372" t="str">
        <f t="shared" si="1"/>
        <v/>
      </c>
      <c r="U22" s="372"/>
      <c r="V22" s="372"/>
      <c r="W22" s="372"/>
      <c r="X22" s="372"/>
      <c r="Y22" s="370"/>
      <c r="Z22" s="370"/>
      <c r="AA22" s="370"/>
      <c r="AD22" s="8">
        <f t="shared" si="0"/>
        <v>0</v>
      </c>
    </row>
    <row r="23" spans="2:30" s="3" customFormat="1" ht="20.100000000000001" customHeight="1" x14ac:dyDescent="0.15">
      <c r="B23" s="371"/>
      <c r="C23" s="371"/>
      <c r="D23" s="371"/>
      <c r="E23" s="372"/>
      <c r="F23" s="372"/>
      <c r="G23" s="372"/>
      <c r="H23" s="372"/>
      <c r="I23" s="372"/>
      <c r="J23" s="372"/>
      <c r="K23" s="372"/>
      <c r="L23" s="372"/>
      <c r="M23" s="372"/>
      <c r="N23" s="372"/>
      <c r="O23" s="372"/>
      <c r="P23" s="372"/>
      <c r="Q23" s="372"/>
      <c r="R23" s="372"/>
      <c r="S23" s="372"/>
      <c r="T23" s="372" t="str">
        <f t="shared" si="1"/>
        <v/>
      </c>
      <c r="U23" s="372"/>
      <c r="V23" s="372"/>
      <c r="W23" s="372"/>
      <c r="X23" s="372"/>
      <c r="Y23" s="370"/>
      <c r="Z23" s="370"/>
      <c r="AA23" s="370"/>
      <c r="AD23" s="8">
        <f t="shared" si="0"/>
        <v>0</v>
      </c>
    </row>
    <row r="24" spans="2:30" s="3" customFormat="1" ht="20.100000000000001" customHeight="1" x14ac:dyDescent="0.15">
      <c r="B24" s="371"/>
      <c r="C24" s="371"/>
      <c r="D24" s="371"/>
      <c r="E24" s="372"/>
      <c r="F24" s="372"/>
      <c r="G24" s="372"/>
      <c r="H24" s="372"/>
      <c r="I24" s="372"/>
      <c r="J24" s="372"/>
      <c r="K24" s="372"/>
      <c r="L24" s="372"/>
      <c r="M24" s="372"/>
      <c r="N24" s="372"/>
      <c r="O24" s="372"/>
      <c r="P24" s="372"/>
      <c r="Q24" s="372"/>
      <c r="R24" s="372"/>
      <c r="S24" s="372"/>
      <c r="T24" s="372" t="str">
        <f t="shared" si="1"/>
        <v/>
      </c>
      <c r="U24" s="372"/>
      <c r="V24" s="372"/>
      <c r="W24" s="372"/>
      <c r="X24" s="372"/>
      <c r="Y24" s="370"/>
      <c r="Z24" s="370"/>
      <c r="AA24" s="370"/>
      <c r="AD24" s="8">
        <f t="shared" si="0"/>
        <v>0</v>
      </c>
    </row>
    <row r="25" spans="2:30" s="3" customFormat="1" ht="20.100000000000001" customHeight="1" x14ac:dyDescent="0.15">
      <c r="B25" s="371"/>
      <c r="C25" s="371"/>
      <c r="D25" s="371"/>
      <c r="E25" s="372"/>
      <c r="F25" s="372"/>
      <c r="G25" s="372"/>
      <c r="H25" s="372"/>
      <c r="I25" s="372"/>
      <c r="J25" s="372"/>
      <c r="K25" s="372"/>
      <c r="L25" s="372"/>
      <c r="M25" s="372"/>
      <c r="N25" s="372"/>
      <c r="O25" s="372"/>
      <c r="P25" s="372"/>
      <c r="Q25" s="372"/>
      <c r="R25" s="372"/>
      <c r="S25" s="372"/>
      <c r="T25" s="372" t="str">
        <f t="shared" si="1"/>
        <v/>
      </c>
      <c r="U25" s="372"/>
      <c r="V25" s="372"/>
      <c r="W25" s="372"/>
      <c r="X25" s="372"/>
      <c r="Y25" s="370"/>
      <c r="Z25" s="370"/>
      <c r="AA25" s="370"/>
      <c r="AD25" s="8">
        <f t="shared" si="0"/>
        <v>0</v>
      </c>
    </row>
    <row r="26" spans="2:30" s="3" customFormat="1" ht="20.100000000000001" customHeight="1" x14ac:dyDescent="0.15">
      <c r="B26" s="371"/>
      <c r="C26" s="371"/>
      <c r="D26" s="371"/>
      <c r="E26" s="372"/>
      <c r="F26" s="372"/>
      <c r="G26" s="372"/>
      <c r="H26" s="372"/>
      <c r="I26" s="372"/>
      <c r="J26" s="372"/>
      <c r="K26" s="372"/>
      <c r="L26" s="372"/>
      <c r="M26" s="372"/>
      <c r="N26" s="372"/>
      <c r="O26" s="372"/>
      <c r="P26" s="372"/>
      <c r="Q26" s="372"/>
      <c r="R26" s="372"/>
      <c r="S26" s="372"/>
      <c r="T26" s="372" t="str">
        <f t="shared" si="1"/>
        <v/>
      </c>
      <c r="U26" s="372"/>
      <c r="V26" s="372"/>
      <c r="W26" s="372"/>
      <c r="X26" s="372"/>
      <c r="Y26" s="370"/>
      <c r="Z26" s="370"/>
      <c r="AA26" s="370"/>
      <c r="AD26" s="8">
        <f t="shared" si="0"/>
        <v>0</v>
      </c>
    </row>
    <row r="27" spans="2:30" s="3" customFormat="1" ht="20.100000000000001" customHeight="1" x14ac:dyDescent="0.15">
      <c r="B27" s="371"/>
      <c r="C27" s="371"/>
      <c r="D27" s="371"/>
      <c r="E27" s="372"/>
      <c r="F27" s="372"/>
      <c r="G27" s="372"/>
      <c r="H27" s="372"/>
      <c r="I27" s="372"/>
      <c r="J27" s="372"/>
      <c r="K27" s="372"/>
      <c r="L27" s="372"/>
      <c r="M27" s="372"/>
      <c r="N27" s="372"/>
      <c r="O27" s="372"/>
      <c r="P27" s="372"/>
      <c r="Q27" s="372"/>
      <c r="R27" s="372"/>
      <c r="S27" s="372"/>
      <c r="T27" s="372" t="str">
        <f t="shared" si="1"/>
        <v/>
      </c>
      <c r="U27" s="372"/>
      <c r="V27" s="372"/>
      <c r="W27" s="372"/>
      <c r="X27" s="372"/>
      <c r="Y27" s="370"/>
      <c r="Z27" s="370"/>
      <c r="AA27" s="370"/>
      <c r="AD27" s="8">
        <f t="shared" si="0"/>
        <v>0</v>
      </c>
    </row>
    <row r="28" spans="2:30" s="3" customFormat="1" ht="20.100000000000001" customHeight="1" x14ac:dyDescent="0.15">
      <c r="B28" s="371"/>
      <c r="C28" s="371"/>
      <c r="D28" s="371"/>
      <c r="E28" s="372"/>
      <c r="F28" s="372"/>
      <c r="G28" s="372"/>
      <c r="H28" s="372"/>
      <c r="I28" s="372"/>
      <c r="J28" s="372"/>
      <c r="K28" s="372"/>
      <c r="L28" s="372"/>
      <c r="M28" s="372"/>
      <c r="N28" s="372"/>
      <c r="O28" s="372"/>
      <c r="P28" s="372"/>
      <c r="Q28" s="372"/>
      <c r="R28" s="372"/>
      <c r="S28" s="372"/>
      <c r="T28" s="372" t="str">
        <f t="shared" si="1"/>
        <v/>
      </c>
      <c r="U28" s="372"/>
      <c r="V28" s="372"/>
      <c r="W28" s="372"/>
      <c r="X28" s="372"/>
      <c r="Y28" s="370"/>
      <c r="Z28" s="370"/>
      <c r="AA28" s="370"/>
      <c r="AD28" s="8">
        <f t="shared" si="0"/>
        <v>0</v>
      </c>
    </row>
    <row r="29" spans="2:30" s="3" customFormat="1" ht="20.100000000000001" customHeight="1" x14ac:dyDescent="0.15">
      <c r="B29" s="371"/>
      <c r="C29" s="371"/>
      <c r="D29" s="371"/>
      <c r="E29" s="372"/>
      <c r="F29" s="372"/>
      <c r="G29" s="372"/>
      <c r="H29" s="372"/>
      <c r="I29" s="372"/>
      <c r="J29" s="372"/>
      <c r="K29" s="372"/>
      <c r="L29" s="372"/>
      <c r="M29" s="372"/>
      <c r="N29" s="372"/>
      <c r="O29" s="372"/>
      <c r="P29" s="372"/>
      <c r="Q29" s="372"/>
      <c r="R29" s="372"/>
      <c r="S29" s="372"/>
      <c r="T29" s="372" t="str">
        <f t="shared" si="1"/>
        <v/>
      </c>
      <c r="U29" s="372"/>
      <c r="V29" s="372"/>
      <c r="W29" s="372"/>
      <c r="X29" s="372"/>
      <c r="Y29" s="370"/>
      <c r="Z29" s="370"/>
      <c r="AA29" s="370"/>
      <c r="AD29" s="8">
        <f t="shared" si="0"/>
        <v>0</v>
      </c>
    </row>
    <row r="30" spans="2:30" s="3" customFormat="1" ht="20.100000000000001" customHeight="1" x14ac:dyDescent="0.15">
      <c r="B30" s="371"/>
      <c r="C30" s="371"/>
      <c r="D30" s="371"/>
      <c r="E30" s="372"/>
      <c r="F30" s="372"/>
      <c r="G30" s="372"/>
      <c r="H30" s="372"/>
      <c r="I30" s="372"/>
      <c r="J30" s="372"/>
      <c r="K30" s="372"/>
      <c r="L30" s="372"/>
      <c r="M30" s="372"/>
      <c r="N30" s="372"/>
      <c r="O30" s="372"/>
      <c r="P30" s="372"/>
      <c r="Q30" s="372"/>
      <c r="R30" s="372"/>
      <c r="S30" s="372"/>
      <c r="T30" s="372" t="str">
        <f t="shared" si="1"/>
        <v/>
      </c>
      <c r="U30" s="372"/>
      <c r="V30" s="372"/>
      <c r="W30" s="372"/>
      <c r="X30" s="372"/>
      <c r="Y30" s="370"/>
      <c r="Z30" s="370"/>
      <c r="AA30" s="370"/>
      <c r="AD30" s="8">
        <f t="shared" si="0"/>
        <v>0</v>
      </c>
    </row>
    <row r="31" spans="2:30" s="3" customFormat="1" ht="20.100000000000001" customHeight="1" x14ac:dyDescent="0.15">
      <c r="B31" s="371"/>
      <c r="C31" s="371"/>
      <c r="D31" s="371"/>
      <c r="E31" s="372"/>
      <c r="F31" s="372"/>
      <c r="G31" s="372"/>
      <c r="H31" s="372"/>
      <c r="I31" s="372"/>
      <c r="J31" s="372"/>
      <c r="K31" s="372"/>
      <c r="L31" s="372"/>
      <c r="M31" s="372"/>
      <c r="N31" s="372"/>
      <c r="O31" s="372"/>
      <c r="P31" s="372"/>
      <c r="Q31" s="372"/>
      <c r="R31" s="372"/>
      <c r="S31" s="372"/>
      <c r="T31" s="372" t="str">
        <f t="shared" si="1"/>
        <v/>
      </c>
      <c r="U31" s="372"/>
      <c r="V31" s="372"/>
      <c r="W31" s="372"/>
      <c r="X31" s="372"/>
      <c r="Y31" s="370"/>
      <c r="Z31" s="370"/>
      <c r="AA31" s="370"/>
      <c r="AD31" s="8">
        <f t="shared" si="0"/>
        <v>0</v>
      </c>
    </row>
    <row r="32" spans="2:30" s="3" customFormat="1" ht="20.100000000000001" customHeight="1" x14ac:dyDescent="0.15">
      <c r="B32" s="371"/>
      <c r="C32" s="371"/>
      <c r="D32" s="371"/>
      <c r="E32" s="372"/>
      <c r="F32" s="372"/>
      <c r="G32" s="372"/>
      <c r="H32" s="372"/>
      <c r="I32" s="372"/>
      <c r="J32" s="372"/>
      <c r="K32" s="372"/>
      <c r="L32" s="372"/>
      <c r="M32" s="372"/>
      <c r="N32" s="372"/>
      <c r="O32" s="372"/>
      <c r="P32" s="372"/>
      <c r="Q32" s="372"/>
      <c r="R32" s="372"/>
      <c r="S32" s="372"/>
      <c r="T32" s="372" t="str">
        <f t="shared" si="1"/>
        <v/>
      </c>
      <c r="U32" s="372"/>
      <c r="V32" s="372"/>
      <c r="W32" s="372"/>
      <c r="X32" s="372"/>
      <c r="Y32" s="370"/>
      <c r="Z32" s="370"/>
      <c r="AA32" s="370"/>
      <c r="AD32" s="8">
        <f t="shared" si="0"/>
        <v>0</v>
      </c>
    </row>
    <row r="33" spans="2:30" s="3" customFormat="1" ht="20.100000000000001" customHeight="1" x14ac:dyDescent="0.15">
      <c r="B33" s="371"/>
      <c r="C33" s="371"/>
      <c r="D33" s="371"/>
      <c r="E33" s="372"/>
      <c r="F33" s="372"/>
      <c r="G33" s="372"/>
      <c r="H33" s="372"/>
      <c r="I33" s="372"/>
      <c r="J33" s="372"/>
      <c r="K33" s="372"/>
      <c r="L33" s="372"/>
      <c r="M33" s="372"/>
      <c r="N33" s="372"/>
      <c r="O33" s="372"/>
      <c r="P33" s="372"/>
      <c r="Q33" s="372"/>
      <c r="R33" s="372"/>
      <c r="S33" s="372"/>
      <c r="T33" s="372" t="str">
        <f t="shared" si="1"/>
        <v/>
      </c>
      <c r="U33" s="372"/>
      <c r="V33" s="372"/>
      <c r="W33" s="372"/>
      <c r="X33" s="372"/>
      <c r="Y33" s="370"/>
      <c r="Z33" s="370"/>
      <c r="AA33" s="370"/>
      <c r="AD33" s="8">
        <f t="shared" si="0"/>
        <v>0</v>
      </c>
    </row>
    <row r="34" spans="2:30" s="3" customFormat="1" ht="20.100000000000001" customHeight="1" x14ac:dyDescent="0.15">
      <c r="B34" s="371"/>
      <c r="C34" s="371"/>
      <c r="D34" s="371"/>
      <c r="E34" s="372"/>
      <c r="F34" s="372"/>
      <c r="G34" s="372"/>
      <c r="H34" s="372"/>
      <c r="I34" s="372"/>
      <c r="J34" s="372"/>
      <c r="K34" s="372"/>
      <c r="L34" s="372"/>
      <c r="M34" s="372"/>
      <c r="N34" s="372"/>
      <c r="O34" s="372"/>
      <c r="P34" s="372"/>
      <c r="Q34" s="372"/>
      <c r="R34" s="372"/>
      <c r="S34" s="372"/>
      <c r="T34" s="372" t="str">
        <f t="shared" si="1"/>
        <v/>
      </c>
      <c r="U34" s="372"/>
      <c r="V34" s="372"/>
      <c r="W34" s="372"/>
      <c r="X34" s="372"/>
      <c r="Y34" s="370"/>
      <c r="Z34" s="370"/>
      <c r="AA34" s="370"/>
      <c r="AD34" s="8">
        <f t="shared" si="0"/>
        <v>0</v>
      </c>
    </row>
    <row r="35" spans="2:30" s="3" customFormat="1" ht="20.100000000000001" customHeight="1" x14ac:dyDescent="0.15">
      <c r="B35" s="371"/>
      <c r="C35" s="371"/>
      <c r="D35" s="371"/>
      <c r="E35" s="372"/>
      <c r="F35" s="372"/>
      <c r="G35" s="372"/>
      <c r="H35" s="372"/>
      <c r="I35" s="372"/>
      <c r="J35" s="372"/>
      <c r="K35" s="372"/>
      <c r="L35" s="372"/>
      <c r="M35" s="372"/>
      <c r="N35" s="372"/>
      <c r="O35" s="372"/>
      <c r="P35" s="372"/>
      <c r="Q35" s="372"/>
      <c r="R35" s="372"/>
      <c r="S35" s="372"/>
      <c r="T35" s="372" t="str">
        <f t="shared" si="1"/>
        <v/>
      </c>
      <c r="U35" s="372"/>
      <c r="V35" s="372"/>
      <c r="W35" s="372"/>
      <c r="X35" s="372"/>
      <c r="Y35" s="370"/>
      <c r="Z35" s="370"/>
      <c r="AA35" s="370"/>
      <c r="AD35" s="8">
        <f t="shared" si="0"/>
        <v>0</v>
      </c>
    </row>
    <row r="36" spans="2:30" s="3" customFormat="1" ht="20.100000000000001" customHeight="1" x14ac:dyDescent="0.15">
      <c r="B36" s="371"/>
      <c r="C36" s="371"/>
      <c r="D36" s="371"/>
      <c r="E36" s="372"/>
      <c r="F36" s="372"/>
      <c r="G36" s="372"/>
      <c r="H36" s="372"/>
      <c r="I36" s="372"/>
      <c r="J36" s="372"/>
      <c r="K36" s="372"/>
      <c r="L36" s="372"/>
      <c r="M36" s="372"/>
      <c r="N36" s="372"/>
      <c r="O36" s="372"/>
      <c r="P36" s="372"/>
      <c r="Q36" s="372"/>
      <c r="R36" s="372"/>
      <c r="S36" s="372"/>
      <c r="T36" s="372" t="str">
        <f t="shared" si="1"/>
        <v/>
      </c>
      <c r="U36" s="372"/>
      <c r="V36" s="372"/>
      <c r="W36" s="372"/>
      <c r="X36" s="372"/>
      <c r="Y36" s="370"/>
      <c r="Z36" s="370"/>
      <c r="AA36" s="370"/>
      <c r="AD36" s="8">
        <f t="shared" si="0"/>
        <v>0</v>
      </c>
    </row>
    <row r="37" spans="2:30" s="3" customFormat="1" ht="20.100000000000001" customHeight="1" x14ac:dyDescent="0.15">
      <c r="B37" s="371"/>
      <c r="C37" s="371"/>
      <c r="D37" s="371"/>
      <c r="E37" s="372"/>
      <c r="F37" s="372"/>
      <c r="G37" s="372"/>
      <c r="H37" s="372"/>
      <c r="I37" s="372"/>
      <c r="J37" s="372"/>
      <c r="K37" s="372"/>
      <c r="L37" s="372"/>
      <c r="M37" s="372"/>
      <c r="N37" s="372"/>
      <c r="O37" s="372"/>
      <c r="P37" s="372"/>
      <c r="Q37" s="372"/>
      <c r="R37" s="372"/>
      <c r="S37" s="372"/>
      <c r="T37" s="372" t="str">
        <f t="shared" si="1"/>
        <v/>
      </c>
      <c r="U37" s="372"/>
      <c r="V37" s="372"/>
      <c r="W37" s="372"/>
      <c r="X37" s="372"/>
      <c r="Y37" s="370"/>
      <c r="Z37" s="370"/>
      <c r="AA37" s="370"/>
      <c r="AD37" s="8">
        <f t="shared" si="0"/>
        <v>0</v>
      </c>
    </row>
    <row r="38" spans="2:30" s="3" customFormat="1" ht="20.100000000000001" customHeight="1" x14ac:dyDescent="0.15">
      <c r="B38" s="371"/>
      <c r="C38" s="371"/>
      <c r="D38" s="371"/>
      <c r="E38" s="372"/>
      <c r="F38" s="372"/>
      <c r="G38" s="372"/>
      <c r="H38" s="372"/>
      <c r="I38" s="372"/>
      <c r="J38" s="372"/>
      <c r="K38" s="372"/>
      <c r="L38" s="372"/>
      <c r="M38" s="372"/>
      <c r="N38" s="372"/>
      <c r="O38" s="372"/>
      <c r="P38" s="372"/>
      <c r="Q38" s="372"/>
      <c r="R38" s="372"/>
      <c r="S38" s="372"/>
      <c r="T38" s="372" t="str">
        <f t="shared" si="1"/>
        <v/>
      </c>
      <c r="U38" s="372"/>
      <c r="V38" s="372"/>
      <c r="W38" s="372"/>
      <c r="X38" s="372"/>
      <c r="Y38" s="370"/>
      <c r="Z38" s="370"/>
      <c r="AA38" s="370"/>
      <c r="AD38" s="8">
        <f t="shared" si="0"/>
        <v>0</v>
      </c>
    </row>
    <row r="39" spans="2:30" s="3" customFormat="1" ht="20.100000000000001" customHeight="1" x14ac:dyDescent="0.15">
      <c r="B39" s="371"/>
      <c r="C39" s="371"/>
      <c r="D39" s="371"/>
      <c r="E39" s="372"/>
      <c r="F39" s="372"/>
      <c r="G39" s="372"/>
      <c r="H39" s="372"/>
      <c r="I39" s="372"/>
      <c r="J39" s="372"/>
      <c r="K39" s="372"/>
      <c r="L39" s="372"/>
      <c r="M39" s="372"/>
      <c r="N39" s="372"/>
      <c r="O39" s="372"/>
      <c r="P39" s="372"/>
      <c r="Q39" s="372"/>
      <c r="R39" s="372"/>
      <c r="S39" s="372"/>
      <c r="T39" s="372" t="str">
        <f t="shared" si="1"/>
        <v/>
      </c>
      <c r="U39" s="372"/>
      <c r="V39" s="372"/>
      <c r="W39" s="372"/>
      <c r="X39" s="372"/>
      <c r="Y39" s="370"/>
      <c r="Z39" s="370"/>
      <c r="AA39" s="370"/>
      <c r="AD39" s="8">
        <f t="shared" si="0"/>
        <v>0</v>
      </c>
    </row>
    <row r="40" spans="2:30" s="3" customFormat="1" ht="20.100000000000001" customHeight="1" x14ac:dyDescent="0.15">
      <c r="B40" s="371"/>
      <c r="C40" s="371"/>
      <c r="D40" s="371"/>
      <c r="E40" s="372"/>
      <c r="F40" s="372"/>
      <c r="G40" s="372"/>
      <c r="H40" s="372"/>
      <c r="I40" s="372"/>
      <c r="J40" s="372"/>
      <c r="K40" s="372"/>
      <c r="L40" s="372"/>
      <c r="M40" s="372"/>
      <c r="N40" s="372"/>
      <c r="O40" s="372"/>
      <c r="P40" s="372"/>
      <c r="Q40" s="372"/>
      <c r="R40" s="372"/>
      <c r="S40" s="372"/>
      <c r="T40" s="372" t="str">
        <f t="shared" si="1"/>
        <v/>
      </c>
      <c r="U40" s="372"/>
      <c r="V40" s="372"/>
      <c r="W40" s="372"/>
      <c r="X40" s="372"/>
      <c r="Y40" s="370"/>
      <c r="Z40" s="370"/>
      <c r="AA40" s="370"/>
      <c r="AD40" s="8">
        <f t="shared" si="0"/>
        <v>0</v>
      </c>
    </row>
    <row r="41" spans="2:30" s="3" customFormat="1" ht="20.100000000000001" customHeight="1" x14ac:dyDescent="0.15">
      <c r="B41" s="371"/>
      <c r="C41" s="371"/>
      <c r="D41" s="371"/>
      <c r="E41" s="372"/>
      <c r="F41" s="372"/>
      <c r="G41" s="372"/>
      <c r="H41" s="372"/>
      <c r="I41" s="372"/>
      <c r="J41" s="372"/>
      <c r="K41" s="372"/>
      <c r="L41" s="372"/>
      <c r="M41" s="372"/>
      <c r="N41" s="372"/>
      <c r="O41" s="372"/>
      <c r="P41" s="372"/>
      <c r="Q41" s="372"/>
      <c r="R41" s="372"/>
      <c r="S41" s="372"/>
      <c r="T41" s="372" t="str">
        <f t="shared" si="1"/>
        <v/>
      </c>
      <c r="U41" s="372"/>
      <c r="V41" s="372"/>
      <c r="W41" s="372"/>
      <c r="X41" s="372"/>
      <c r="Y41" s="370"/>
      <c r="Z41" s="370"/>
      <c r="AA41" s="370"/>
      <c r="AD41" s="8">
        <f t="shared" si="0"/>
        <v>0</v>
      </c>
    </row>
    <row r="42" spans="2:30" s="3" customFormat="1" ht="20.100000000000001" customHeight="1" x14ac:dyDescent="0.15">
      <c r="B42" s="371"/>
      <c r="C42" s="371"/>
      <c r="D42" s="371"/>
      <c r="E42" s="372"/>
      <c r="F42" s="372"/>
      <c r="G42" s="372"/>
      <c r="H42" s="372"/>
      <c r="I42" s="372"/>
      <c r="J42" s="372"/>
      <c r="K42" s="372"/>
      <c r="L42" s="372"/>
      <c r="M42" s="372"/>
      <c r="N42" s="372"/>
      <c r="O42" s="372"/>
      <c r="P42" s="372"/>
      <c r="Q42" s="372"/>
      <c r="R42" s="372"/>
      <c r="S42" s="372"/>
      <c r="T42" s="372" t="str">
        <f t="shared" si="1"/>
        <v/>
      </c>
      <c r="U42" s="372"/>
      <c r="V42" s="372"/>
      <c r="W42" s="372"/>
      <c r="X42" s="372"/>
      <c r="Y42" s="370"/>
      <c r="Z42" s="370"/>
      <c r="AA42" s="370"/>
      <c r="AD42" s="8">
        <f t="shared" si="0"/>
        <v>0</v>
      </c>
    </row>
    <row r="43" spans="2:30" s="3" customFormat="1" ht="20.100000000000001" customHeight="1" x14ac:dyDescent="0.15">
      <c r="B43" s="371"/>
      <c r="C43" s="371"/>
      <c r="D43" s="371"/>
      <c r="E43" s="372"/>
      <c r="F43" s="372"/>
      <c r="G43" s="372"/>
      <c r="H43" s="372"/>
      <c r="I43" s="372"/>
      <c r="J43" s="372"/>
      <c r="K43" s="372"/>
      <c r="L43" s="372"/>
      <c r="M43" s="372"/>
      <c r="N43" s="372"/>
      <c r="O43" s="372"/>
      <c r="P43" s="372"/>
      <c r="Q43" s="372"/>
      <c r="R43" s="372"/>
      <c r="S43" s="372"/>
      <c r="T43" s="372" t="str">
        <f t="shared" si="1"/>
        <v/>
      </c>
      <c r="U43" s="372"/>
      <c r="V43" s="372"/>
      <c r="W43" s="372"/>
      <c r="X43" s="372"/>
      <c r="Y43" s="370"/>
      <c r="Z43" s="370"/>
      <c r="AA43" s="370"/>
      <c r="AD43" s="8">
        <f t="shared" si="0"/>
        <v>0</v>
      </c>
    </row>
    <row r="44" spans="2:30" s="3" customFormat="1" ht="20.100000000000001" customHeight="1" x14ac:dyDescent="0.15">
      <c r="B44" s="371"/>
      <c r="C44" s="371"/>
      <c r="D44" s="371"/>
      <c r="E44" s="372"/>
      <c r="F44" s="372"/>
      <c r="G44" s="372"/>
      <c r="H44" s="372"/>
      <c r="I44" s="372"/>
      <c r="J44" s="372"/>
      <c r="K44" s="372"/>
      <c r="L44" s="372"/>
      <c r="M44" s="372"/>
      <c r="N44" s="372"/>
      <c r="O44" s="372"/>
      <c r="P44" s="372"/>
      <c r="Q44" s="372"/>
      <c r="R44" s="372"/>
      <c r="S44" s="372"/>
      <c r="T44" s="372" t="str">
        <f t="shared" si="1"/>
        <v/>
      </c>
      <c r="U44" s="372"/>
      <c r="V44" s="372"/>
      <c r="W44" s="372"/>
      <c r="X44" s="372"/>
      <c r="Y44" s="370"/>
      <c r="Z44" s="370"/>
      <c r="AA44" s="370"/>
      <c r="AD44" s="8">
        <f t="shared" si="0"/>
        <v>0</v>
      </c>
    </row>
    <row r="45" spans="2:30" s="3" customFormat="1" ht="20.100000000000001" customHeight="1" x14ac:dyDescent="0.15">
      <c r="B45" s="371"/>
      <c r="C45" s="371"/>
      <c r="D45" s="371"/>
      <c r="E45" s="372"/>
      <c r="F45" s="372"/>
      <c r="G45" s="372"/>
      <c r="H45" s="372"/>
      <c r="I45" s="372"/>
      <c r="J45" s="372"/>
      <c r="K45" s="372"/>
      <c r="L45" s="372"/>
      <c r="M45" s="372"/>
      <c r="N45" s="372"/>
      <c r="O45" s="372"/>
      <c r="P45" s="372"/>
      <c r="Q45" s="372"/>
      <c r="R45" s="372"/>
      <c r="S45" s="372"/>
      <c r="T45" s="372" t="str">
        <f t="shared" si="1"/>
        <v/>
      </c>
      <c r="U45" s="372"/>
      <c r="V45" s="372"/>
      <c r="W45" s="372"/>
      <c r="X45" s="372"/>
      <c r="Y45" s="370"/>
      <c r="Z45" s="370"/>
      <c r="AA45" s="370"/>
      <c r="AD45" s="8">
        <f t="shared" si="0"/>
        <v>0</v>
      </c>
    </row>
    <row r="46" spans="2:30" s="3" customFormat="1" ht="20.100000000000001" customHeight="1" x14ac:dyDescent="0.15">
      <c r="B46" s="371"/>
      <c r="C46" s="371"/>
      <c r="D46" s="371"/>
      <c r="E46" s="372"/>
      <c r="F46" s="372"/>
      <c r="G46" s="372"/>
      <c r="H46" s="372"/>
      <c r="I46" s="372"/>
      <c r="J46" s="372"/>
      <c r="K46" s="372"/>
      <c r="L46" s="372"/>
      <c r="M46" s="372"/>
      <c r="N46" s="372"/>
      <c r="O46" s="372"/>
      <c r="P46" s="372"/>
      <c r="Q46" s="372"/>
      <c r="R46" s="372"/>
      <c r="S46" s="372"/>
      <c r="T46" s="372" t="str">
        <f t="shared" si="1"/>
        <v/>
      </c>
      <c r="U46" s="372"/>
      <c r="V46" s="372"/>
      <c r="W46" s="372"/>
      <c r="X46" s="372"/>
      <c r="Y46" s="370"/>
      <c r="Z46" s="370"/>
      <c r="AA46" s="370"/>
      <c r="AD46" s="8">
        <f t="shared" si="0"/>
        <v>0</v>
      </c>
    </row>
    <row r="47" spans="2:30" s="3" customFormat="1" ht="20.100000000000001" customHeight="1" x14ac:dyDescent="0.15">
      <c r="B47" s="371"/>
      <c r="C47" s="371"/>
      <c r="D47" s="371"/>
      <c r="E47" s="372"/>
      <c r="F47" s="372"/>
      <c r="G47" s="372"/>
      <c r="H47" s="372"/>
      <c r="I47" s="372"/>
      <c r="J47" s="372"/>
      <c r="K47" s="372"/>
      <c r="L47" s="372"/>
      <c r="M47" s="372"/>
      <c r="N47" s="372"/>
      <c r="O47" s="372"/>
      <c r="P47" s="372"/>
      <c r="Q47" s="372"/>
      <c r="R47" s="372"/>
      <c r="S47" s="372"/>
      <c r="T47" s="372" t="str">
        <f t="shared" si="1"/>
        <v/>
      </c>
      <c r="U47" s="372"/>
      <c r="V47" s="372"/>
      <c r="W47" s="372"/>
      <c r="X47" s="372"/>
      <c r="Y47" s="370"/>
      <c r="Z47" s="370"/>
      <c r="AA47" s="370"/>
      <c r="AD47" s="8">
        <f t="shared" si="0"/>
        <v>0</v>
      </c>
    </row>
    <row r="48" spans="2:30" s="3" customFormat="1" ht="20.100000000000001" customHeight="1" x14ac:dyDescent="0.15">
      <c r="B48" s="371"/>
      <c r="C48" s="371"/>
      <c r="D48" s="371"/>
      <c r="E48" s="372"/>
      <c r="F48" s="372"/>
      <c r="G48" s="372"/>
      <c r="H48" s="372"/>
      <c r="I48" s="372"/>
      <c r="J48" s="372"/>
      <c r="K48" s="372"/>
      <c r="L48" s="372"/>
      <c r="M48" s="372"/>
      <c r="N48" s="372"/>
      <c r="O48" s="372"/>
      <c r="P48" s="372"/>
      <c r="Q48" s="372"/>
      <c r="R48" s="372"/>
      <c r="S48" s="372"/>
      <c r="T48" s="372" t="str">
        <f t="shared" si="1"/>
        <v/>
      </c>
      <c r="U48" s="372"/>
      <c r="V48" s="372"/>
      <c r="W48" s="372"/>
      <c r="X48" s="372"/>
      <c r="Y48" s="370"/>
      <c r="Z48" s="370"/>
      <c r="AA48" s="370"/>
      <c r="AD48" s="8">
        <f t="shared" si="0"/>
        <v>0</v>
      </c>
    </row>
    <row r="49" spans="1:30" s="3" customFormat="1" ht="20.100000000000001" customHeight="1" x14ac:dyDescent="0.15">
      <c r="B49" s="371"/>
      <c r="C49" s="371"/>
      <c r="D49" s="371"/>
      <c r="E49" s="372"/>
      <c r="F49" s="372"/>
      <c r="G49" s="372"/>
      <c r="H49" s="372"/>
      <c r="I49" s="372"/>
      <c r="J49" s="372"/>
      <c r="K49" s="372"/>
      <c r="L49" s="372"/>
      <c r="M49" s="372"/>
      <c r="N49" s="372"/>
      <c r="O49" s="372"/>
      <c r="P49" s="372"/>
      <c r="Q49" s="372"/>
      <c r="R49" s="372"/>
      <c r="S49" s="372"/>
      <c r="T49" s="372" t="str">
        <f t="shared" si="1"/>
        <v/>
      </c>
      <c r="U49" s="372"/>
      <c r="V49" s="372"/>
      <c r="W49" s="372"/>
      <c r="X49" s="372"/>
      <c r="Y49" s="370"/>
      <c r="Z49" s="370"/>
      <c r="AA49" s="370"/>
      <c r="AD49" s="8">
        <f t="shared" si="0"/>
        <v>0</v>
      </c>
    </row>
    <row r="50" spans="1:30" s="3" customFormat="1" ht="20.100000000000001" customHeight="1" x14ac:dyDescent="0.15">
      <c r="B50" s="371"/>
      <c r="C50" s="371"/>
      <c r="D50" s="371"/>
      <c r="E50" s="372"/>
      <c r="F50" s="372"/>
      <c r="G50" s="372"/>
      <c r="H50" s="372"/>
      <c r="I50" s="372"/>
      <c r="J50" s="372"/>
      <c r="K50" s="372"/>
      <c r="L50" s="372"/>
      <c r="M50" s="372"/>
      <c r="N50" s="372"/>
      <c r="O50" s="372"/>
      <c r="P50" s="372"/>
      <c r="Q50" s="372"/>
      <c r="R50" s="372"/>
      <c r="S50" s="372"/>
      <c r="T50" s="372" t="str">
        <f t="shared" si="1"/>
        <v/>
      </c>
      <c r="U50" s="372"/>
      <c r="V50" s="372"/>
      <c r="W50" s="372"/>
      <c r="X50" s="372"/>
      <c r="Y50" s="370"/>
      <c r="Z50" s="370"/>
      <c r="AA50" s="370"/>
      <c r="AD50" s="8">
        <f t="shared" si="0"/>
        <v>0</v>
      </c>
    </row>
    <row r="51" spans="1:30" s="3" customFormat="1" ht="20.100000000000001" customHeight="1" x14ac:dyDescent="0.15">
      <c r="B51" s="371"/>
      <c r="C51" s="371"/>
      <c r="D51" s="371"/>
      <c r="E51" s="372"/>
      <c r="F51" s="372"/>
      <c r="G51" s="372"/>
      <c r="H51" s="372"/>
      <c r="I51" s="372"/>
      <c r="J51" s="372"/>
      <c r="K51" s="372"/>
      <c r="L51" s="372"/>
      <c r="M51" s="372"/>
      <c r="N51" s="372"/>
      <c r="O51" s="372"/>
      <c r="P51" s="372"/>
      <c r="Q51" s="372"/>
      <c r="R51" s="372"/>
      <c r="S51" s="372"/>
      <c r="T51" s="372" t="str">
        <f t="shared" si="1"/>
        <v/>
      </c>
      <c r="U51" s="372"/>
      <c r="V51" s="372"/>
      <c r="W51" s="372"/>
      <c r="X51" s="372"/>
      <c r="Y51" s="370"/>
      <c r="Z51" s="370"/>
      <c r="AA51" s="370"/>
      <c r="AD51" s="8">
        <f t="shared" si="0"/>
        <v>0</v>
      </c>
    </row>
    <row r="52" spans="1:30" s="3" customFormat="1" ht="20.100000000000001" customHeight="1" x14ac:dyDescent="0.15">
      <c r="B52" s="371"/>
      <c r="C52" s="371"/>
      <c r="D52" s="371"/>
      <c r="E52" s="372"/>
      <c r="F52" s="372"/>
      <c r="G52" s="372"/>
      <c r="H52" s="372"/>
      <c r="I52" s="372"/>
      <c r="J52" s="372"/>
      <c r="K52" s="372"/>
      <c r="L52" s="372"/>
      <c r="M52" s="372"/>
      <c r="N52" s="372"/>
      <c r="O52" s="372"/>
      <c r="P52" s="372"/>
      <c r="Q52" s="372"/>
      <c r="R52" s="372"/>
      <c r="S52" s="372"/>
      <c r="T52" s="372" t="str">
        <f t="shared" si="1"/>
        <v/>
      </c>
      <c r="U52" s="372"/>
      <c r="V52" s="372"/>
      <c r="W52" s="372"/>
      <c r="X52" s="372"/>
      <c r="Y52" s="370"/>
      <c r="Z52" s="370"/>
      <c r="AA52" s="370"/>
      <c r="AD52" s="8">
        <f t="shared" si="0"/>
        <v>0</v>
      </c>
    </row>
    <row r="53" spans="1:30" s="3" customFormat="1" ht="20.100000000000001" customHeight="1" x14ac:dyDescent="0.15">
      <c r="B53" s="371"/>
      <c r="C53" s="371"/>
      <c r="D53" s="371"/>
      <c r="E53" s="372"/>
      <c r="F53" s="372"/>
      <c r="G53" s="372"/>
      <c r="H53" s="372"/>
      <c r="I53" s="372"/>
      <c r="J53" s="372"/>
      <c r="K53" s="372"/>
      <c r="L53" s="372"/>
      <c r="M53" s="372"/>
      <c r="N53" s="372"/>
      <c r="O53" s="372"/>
      <c r="P53" s="372"/>
      <c r="Q53" s="372"/>
      <c r="R53" s="372"/>
      <c r="S53" s="372"/>
      <c r="T53" s="372" t="str">
        <f t="shared" si="1"/>
        <v/>
      </c>
      <c r="U53" s="372"/>
      <c r="V53" s="372"/>
      <c r="W53" s="372"/>
      <c r="X53" s="372"/>
      <c r="Y53" s="370"/>
      <c r="Z53" s="370"/>
      <c r="AA53" s="370"/>
      <c r="AD53" s="8">
        <f t="shared" si="0"/>
        <v>0</v>
      </c>
    </row>
    <row r="54" spans="1:30" s="3" customFormat="1" ht="20.100000000000001" customHeight="1" x14ac:dyDescent="0.15">
      <c r="B54" s="371"/>
      <c r="C54" s="371"/>
      <c r="D54" s="371"/>
      <c r="E54" s="372"/>
      <c r="F54" s="372"/>
      <c r="G54" s="372"/>
      <c r="H54" s="372"/>
      <c r="I54" s="372"/>
      <c r="J54" s="372"/>
      <c r="K54" s="372"/>
      <c r="L54" s="372"/>
      <c r="M54" s="372"/>
      <c r="N54" s="372"/>
      <c r="O54" s="372"/>
      <c r="P54" s="372"/>
      <c r="Q54" s="372"/>
      <c r="R54" s="372"/>
      <c r="S54" s="372"/>
      <c r="T54" s="372" t="str">
        <f t="shared" si="1"/>
        <v/>
      </c>
      <c r="U54" s="372"/>
      <c r="V54" s="372"/>
      <c r="W54" s="372"/>
      <c r="X54" s="372"/>
      <c r="Y54" s="370"/>
      <c r="Z54" s="370"/>
      <c r="AA54" s="370"/>
      <c r="AD54" s="8">
        <f t="shared" si="0"/>
        <v>0</v>
      </c>
    </row>
    <row r="55" spans="1:30" s="3" customFormat="1" ht="20.100000000000001" customHeight="1" x14ac:dyDescent="0.15">
      <c r="B55" s="371"/>
      <c r="C55" s="371"/>
      <c r="D55" s="371"/>
      <c r="E55" s="372"/>
      <c r="F55" s="372"/>
      <c r="G55" s="372"/>
      <c r="H55" s="372"/>
      <c r="I55" s="372"/>
      <c r="J55" s="372"/>
      <c r="K55" s="372"/>
      <c r="L55" s="372"/>
      <c r="M55" s="372"/>
      <c r="N55" s="372"/>
      <c r="O55" s="372"/>
      <c r="P55" s="372"/>
      <c r="Q55" s="372"/>
      <c r="R55" s="372"/>
      <c r="S55" s="372"/>
      <c r="T55" s="372" t="str">
        <f t="shared" si="1"/>
        <v/>
      </c>
      <c r="U55" s="372"/>
      <c r="V55" s="372"/>
      <c r="W55" s="372"/>
      <c r="X55" s="372"/>
      <c r="Y55" s="370"/>
      <c r="Z55" s="370"/>
      <c r="AA55" s="370"/>
      <c r="AD55" s="8">
        <f t="shared" si="0"/>
        <v>0</v>
      </c>
    </row>
    <row r="56" spans="1:30" s="3" customFormat="1" ht="15" customHeight="1" x14ac:dyDescent="0.15"/>
    <row r="57" spans="1:30" s="3" customFormat="1" ht="15" customHeight="1" x14ac:dyDescent="0.15"/>
    <row r="58" spans="1:30" s="3" customFormat="1" ht="15" customHeight="1" x14ac:dyDescent="0.15">
      <c r="Y58" s="507"/>
      <c r="Z58" s="507"/>
      <c r="AA58" s="507"/>
      <c r="AB58" s="507"/>
    </row>
    <row r="59" spans="1:30" s="2" customFormat="1" ht="14.25" x14ac:dyDescent="0.15">
      <c r="A59" s="373" t="s">
        <v>12</v>
      </c>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row>
    <row r="60" spans="1:30" s="3" customFormat="1" x14ac:dyDescent="0.15"/>
    <row r="61" spans="1:30" s="3" customFormat="1" x14ac:dyDescent="0.15"/>
    <row r="62" spans="1:30" s="3" customFormat="1" ht="15" customHeight="1" x14ac:dyDescent="0.15">
      <c r="A62" s="374" t="s">
        <v>1</v>
      </c>
      <c r="B62" s="374"/>
      <c r="C62" s="374"/>
      <c r="D62" s="374"/>
      <c r="E62" s="374"/>
      <c r="F62" s="374"/>
      <c r="G62" s="374"/>
      <c r="H62" s="374"/>
      <c r="I62" s="374"/>
      <c r="J62" s="374"/>
      <c r="K62" s="374"/>
      <c r="L62" s="374"/>
      <c r="M62" s="374"/>
      <c r="N62" s="374"/>
      <c r="O62" s="374"/>
      <c r="P62" s="374"/>
      <c r="Q62" s="374"/>
      <c r="R62" s="374"/>
      <c r="S62" s="374"/>
      <c r="T62" s="374"/>
      <c r="U62" s="374"/>
      <c r="V62" s="374"/>
      <c r="W62" s="374"/>
      <c r="X62" s="374"/>
      <c r="Y62" s="374"/>
      <c r="Z62" s="374"/>
      <c r="AA62" s="374"/>
      <c r="AB62" s="374"/>
    </row>
    <row r="63" spans="1:30" s="3" customFormat="1" ht="15" customHeight="1" x14ac:dyDescent="0.15">
      <c r="A63" s="374"/>
      <c r="B63" s="374"/>
      <c r="C63" s="374"/>
      <c r="D63" s="374"/>
      <c r="E63" s="374"/>
      <c r="F63" s="374"/>
      <c r="G63" s="374"/>
      <c r="H63" s="374"/>
      <c r="I63" s="374"/>
      <c r="J63" s="374"/>
      <c r="K63" s="374"/>
      <c r="L63" s="374"/>
      <c r="M63" s="374"/>
      <c r="N63" s="374"/>
      <c r="O63" s="374"/>
      <c r="P63" s="374"/>
      <c r="Q63" s="374"/>
      <c r="R63" s="374"/>
      <c r="S63" s="374"/>
      <c r="T63" s="374"/>
      <c r="U63" s="374"/>
      <c r="V63" s="374"/>
      <c r="W63" s="374"/>
      <c r="X63" s="374"/>
      <c r="Y63" s="374"/>
      <c r="Z63" s="374"/>
      <c r="AA63" s="374"/>
      <c r="AB63" s="374"/>
    </row>
    <row r="64" spans="1:30" s="3" customFormat="1" ht="29.25" customHeight="1" x14ac:dyDescent="0.15"/>
    <row r="65" spans="1:30" s="3" customFormat="1" ht="23.25" customHeight="1" x14ac:dyDescent="0.15">
      <c r="E65" s="373" t="s">
        <v>2</v>
      </c>
      <c r="F65" s="373"/>
      <c r="G65" s="373"/>
      <c r="H65" s="375">
        <f>H7</f>
        <v>0</v>
      </c>
      <c r="I65" s="375"/>
      <c r="J65" s="375"/>
      <c r="K65" s="375"/>
      <c r="L65" s="375"/>
      <c r="M65" s="375"/>
      <c r="N65" s="375"/>
      <c r="O65" s="375"/>
      <c r="P65" s="375"/>
      <c r="Q65" s="375"/>
      <c r="R65" s="375"/>
      <c r="S65" s="375"/>
      <c r="T65" s="375"/>
      <c r="U65" s="375"/>
      <c r="V65" s="375"/>
      <c r="W65" s="375"/>
    </row>
    <row r="66" spans="1:30" s="3" customFormat="1" ht="21" customHeight="1" x14ac:dyDescent="0.15">
      <c r="E66" s="373" t="s">
        <v>3</v>
      </c>
      <c r="F66" s="373"/>
      <c r="G66" s="373"/>
      <c r="H66" s="376">
        <f>H8</f>
        <v>0</v>
      </c>
      <c r="I66" s="376"/>
      <c r="J66" s="376"/>
      <c r="K66" s="376"/>
      <c r="L66" s="376"/>
      <c r="M66" s="376"/>
      <c r="N66" s="376"/>
      <c r="O66" s="376"/>
      <c r="P66" s="376"/>
      <c r="Q66" s="376"/>
      <c r="R66" s="376"/>
      <c r="S66" s="376"/>
      <c r="T66" s="376"/>
      <c r="U66" s="376"/>
      <c r="V66" s="376"/>
      <c r="W66" s="376"/>
    </row>
    <row r="67" spans="1:30" s="3" customFormat="1" ht="16.899999999999999" customHeight="1" x14ac:dyDescent="0.15">
      <c r="E67" s="373"/>
      <c r="F67" s="373"/>
      <c r="G67" s="373"/>
      <c r="H67" s="377">
        <f>H9</f>
        <v>0</v>
      </c>
      <c r="I67" s="377"/>
      <c r="J67" s="377"/>
      <c r="K67" s="377"/>
      <c r="L67" s="377"/>
      <c r="M67" s="377"/>
      <c r="N67" s="377"/>
      <c r="O67" s="377"/>
      <c r="P67" s="377"/>
      <c r="Q67" s="377"/>
      <c r="R67" s="377"/>
      <c r="S67" s="377"/>
      <c r="T67" s="377"/>
      <c r="U67" s="377"/>
      <c r="V67" s="377"/>
      <c r="W67" s="377"/>
    </row>
    <row r="68" spans="1:30" s="3" customFormat="1" ht="21" customHeight="1" x14ac:dyDescent="0.15">
      <c r="E68" s="373" t="s">
        <v>4</v>
      </c>
      <c r="F68" s="373"/>
      <c r="G68" s="373"/>
      <c r="H68" s="375">
        <f>H10</f>
        <v>0</v>
      </c>
      <c r="I68" s="375"/>
      <c r="J68" s="375"/>
      <c r="K68" s="375"/>
      <c r="L68" s="375"/>
      <c r="M68" s="375"/>
      <c r="N68" s="375"/>
      <c r="O68" s="375"/>
      <c r="P68" s="375"/>
      <c r="Q68" s="375"/>
      <c r="R68" s="375"/>
      <c r="S68" s="375"/>
      <c r="T68" s="375"/>
      <c r="U68" s="375"/>
      <c r="V68" s="375"/>
      <c r="W68" s="375"/>
    </row>
    <row r="69" spans="1:30" s="3" customFormat="1" ht="12.75" customHeight="1" x14ac:dyDescent="0.15"/>
    <row r="70" spans="1:30" s="3" customFormat="1" ht="8.25" customHeight="1" x14ac:dyDescent="0.15"/>
    <row r="71" spans="1:30" s="3" customFormat="1" ht="15.6" customHeight="1" x14ac:dyDescent="0.15">
      <c r="A71" s="10"/>
      <c r="B71" s="779" t="s">
        <v>5</v>
      </c>
      <c r="C71" s="779"/>
      <c r="D71" s="779"/>
      <c r="E71" s="780" t="s">
        <v>6</v>
      </c>
      <c r="F71" s="780"/>
      <c r="G71" s="780"/>
      <c r="H71" s="780"/>
      <c r="I71" s="780" t="s">
        <v>7</v>
      </c>
      <c r="J71" s="780"/>
      <c r="K71" s="780"/>
      <c r="L71" s="780"/>
      <c r="M71" s="780" t="s">
        <v>8</v>
      </c>
      <c r="N71" s="780"/>
      <c r="O71" s="780"/>
      <c r="P71" s="780"/>
      <c r="Q71" s="780" t="s">
        <v>9</v>
      </c>
      <c r="R71" s="780"/>
      <c r="S71" s="780"/>
      <c r="T71" s="780" t="s">
        <v>10</v>
      </c>
      <c r="U71" s="780"/>
      <c r="V71" s="780"/>
      <c r="W71" s="780"/>
      <c r="X71" s="780"/>
      <c r="Y71" s="779" t="s">
        <v>11</v>
      </c>
      <c r="Z71" s="779"/>
      <c r="AA71" s="779"/>
      <c r="AB71" s="10"/>
    </row>
    <row r="72" spans="1:30" s="3" customFormat="1" ht="6" customHeight="1" x14ac:dyDescent="0.15">
      <c r="B72" s="6"/>
      <c r="C72" s="6"/>
      <c r="D72" s="6"/>
      <c r="E72" s="6"/>
      <c r="F72" s="6"/>
      <c r="G72" s="6"/>
      <c r="H72" s="6"/>
      <c r="I72" s="6"/>
      <c r="J72" s="6"/>
      <c r="K72" s="6"/>
      <c r="L72" s="6"/>
      <c r="M72" s="6"/>
      <c r="N72" s="6"/>
      <c r="O72" s="6"/>
      <c r="P72" s="6"/>
      <c r="Q72" s="6"/>
      <c r="R72" s="6"/>
      <c r="S72" s="6"/>
      <c r="T72" s="6"/>
      <c r="U72" s="6"/>
      <c r="V72" s="6"/>
      <c r="W72" s="6"/>
      <c r="X72" s="6"/>
      <c r="Y72" s="6"/>
      <c r="Z72" s="6"/>
      <c r="AA72" s="6"/>
    </row>
    <row r="73" spans="1:30" s="3" customFormat="1" ht="20.100000000000001" customHeight="1" x14ac:dyDescent="0.15">
      <c r="B73" s="371"/>
      <c r="C73" s="371"/>
      <c r="D73" s="371"/>
      <c r="E73" s="372"/>
      <c r="F73" s="372"/>
      <c r="G73" s="372"/>
      <c r="H73" s="372"/>
      <c r="I73" s="372"/>
      <c r="J73" s="372"/>
      <c r="K73" s="372"/>
      <c r="L73" s="372"/>
      <c r="M73" s="372"/>
      <c r="N73" s="372"/>
      <c r="O73" s="372"/>
      <c r="P73" s="372"/>
      <c r="Q73" s="372"/>
      <c r="R73" s="372"/>
      <c r="S73" s="372"/>
      <c r="T73" s="372" t="str">
        <f>IF(B73="","",IF(AD73=0,"",AD73))</f>
        <v/>
      </c>
      <c r="U73" s="372"/>
      <c r="V73" s="372"/>
      <c r="W73" s="372"/>
      <c r="X73" s="372"/>
      <c r="Y73" s="370"/>
      <c r="Z73" s="370"/>
      <c r="AA73" s="370"/>
      <c r="AD73" s="8">
        <f>AD55+E73-I73+M73+Q73</f>
        <v>0</v>
      </c>
    </row>
    <row r="74" spans="1:30" s="3" customFormat="1" ht="20.100000000000001" customHeight="1" x14ac:dyDescent="0.15">
      <c r="B74" s="371"/>
      <c r="C74" s="371"/>
      <c r="D74" s="371"/>
      <c r="E74" s="372"/>
      <c r="F74" s="372"/>
      <c r="G74" s="372"/>
      <c r="H74" s="372"/>
      <c r="I74" s="372"/>
      <c r="J74" s="372"/>
      <c r="K74" s="372"/>
      <c r="L74" s="372"/>
      <c r="M74" s="372"/>
      <c r="N74" s="372"/>
      <c r="O74" s="372"/>
      <c r="P74" s="372"/>
      <c r="Q74" s="372"/>
      <c r="R74" s="372"/>
      <c r="S74" s="372"/>
      <c r="T74" s="372" t="str">
        <f t="shared" ref="T74:T113" si="2">IF(B74="","",IF(AD74=0,"",AD74))</f>
        <v/>
      </c>
      <c r="U74" s="372"/>
      <c r="V74" s="372"/>
      <c r="W74" s="372"/>
      <c r="X74" s="372"/>
      <c r="Y74" s="370"/>
      <c r="Z74" s="370"/>
      <c r="AA74" s="370"/>
      <c r="AD74" s="8">
        <f>AD73+E74-I74+M74+Q74</f>
        <v>0</v>
      </c>
    </row>
    <row r="75" spans="1:30" s="3" customFormat="1" ht="20.100000000000001" customHeight="1" x14ac:dyDescent="0.15">
      <c r="B75" s="371"/>
      <c r="C75" s="371"/>
      <c r="D75" s="371"/>
      <c r="E75" s="372"/>
      <c r="F75" s="372"/>
      <c r="G75" s="372"/>
      <c r="H75" s="372"/>
      <c r="I75" s="372"/>
      <c r="J75" s="372"/>
      <c r="K75" s="372"/>
      <c r="L75" s="372"/>
      <c r="M75" s="372"/>
      <c r="N75" s="372"/>
      <c r="O75" s="372"/>
      <c r="P75" s="372"/>
      <c r="Q75" s="372"/>
      <c r="R75" s="372"/>
      <c r="S75" s="372"/>
      <c r="T75" s="372" t="str">
        <f t="shared" si="2"/>
        <v/>
      </c>
      <c r="U75" s="372"/>
      <c r="V75" s="372"/>
      <c r="W75" s="372"/>
      <c r="X75" s="372"/>
      <c r="Y75" s="370"/>
      <c r="Z75" s="370"/>
      <c r="AA75" s="370"/>
      <c r="AD75" s="8">
        <f t="shared" ref="AD75:AD113" si="3">AD74+E75-I75+M75+Q75</f>
        <v>0</v>
      </c>
    </row>
    <row r="76" spans="1:30" s="3" customFormat="1" ht="20.100000000000001" customHeight="1" x14ac:dyDescent="0.15">
      <c r="B76" s="371"/>
      <c r="C76" s="371"/>
      <c r="D76" s="371"/>
      <c r="E76" s="372"/>
      <c r="F76" s="372"/>
      <c r="G76" s="372"/>
      <c r="H76" s="372"/>
      <c r="I76" s="372"/>
      <c r="J76" s="372"/>
      <c r="K76" s="372"/>
      <c r="L76" s="372"/>
      <c r="M76" s="372"/>
      <c r="N76" s="372"/>
      <c r="O76" s="372"/>
      <c r="P76" s="372"/>
      <c r="Q76" s="372"/>
      <c r="R76" s="372"/>
      <c r="S76" s="372"/>
      <c r="T76" s="372" t="str">
        <f t="shared" si="2"/>
        <v/>
      </c>
      <c r="U76" s="372"/>
      <c r="V76" s="372"/>
      <c r="W76" s="372"/>
      <c r="X76" s="372"/>
      <c r="Y76" s="370"/>
      <c r="Z76" s="370"/>
      <c r="AA76" s="370"/>
      <c r="AD76" s="8">
        <f t="shared" si="3"/>
        <v>0</v>
      </c>
    </row>
    <row r="77" spans="1:30" s="3" customFormat="1" ht="20.100000000000001" customHeight="1" x14ac:dyDescent="0.15">
      <c r="B77" s="371"/>
      <c r="C77" s="371"/>
      <c r="D77" s="371"/>
      <c r="E77" s="372"/>
      <c r="F77" s="372"/>
      <c r="G77" s="372"/>
      <c r="H77" s="372"/>
      <c r="I77" s="372"/>
      <c r="J77" s="372"/>
      <c r="K77" s="372"/>
      <c r="L77" s="372"/>
      <c r="M77" s="372"/>
      <c r="N77" s="372"/>
      <c r="O77" s="372"/>
      <c r="P77" s="372"/>
      <c r="Q77" s="372"/>
      <c r="R77" s="372"/>
      <c r="S77" s="372"/>
      <c r="T77" s="372" t="str">
        <f t="shared" si="2"/>
        <v/>
      </c>
      <c r="U77" s="372"/>
      <c r="V77" s="372"/>
      <c r="W77" s="372"/>
      <c r="X77" s="372"/>
      <c r="Y77" s="370"/>
      <c r="Z77" s="370"/>
      <c r="AA77" s="370"/>
      <c r="AD77" s="8">
        <f t="shared" si="3"/>
        <v>0</v>
      </c>
    </row>
    <row r="78" spans="1:30" s="3" customFormat="1" ht="20.100000000000001" customHeight="1" x14ac:dyDescent="0.15">
      <c r="B78" s="371"/>
      <c r="C78" s="371"/>
      <c r="D78" s="371"/>
      <c r="E78" s="372"/>
      <c r="F78" s="372"/>
      <c r="G78" s="372"/>
      <c r="H78" s="372"/>
      <c r="I78" s="372"/>
      <c r="J78" s="372"/>
      <c r="K78" s="372"/>
      <c r="L78" s="372"/>
      <c r="M78" s="372"/>
      <c r="N78" s="372"/>
      <c r="O78" s="372"/>
      <c r="P78" s="372"/>
      <c r="Q78" s="372"/>
      <c r="R78" s="372"/>
      <c r="S78" s="372"/>
      <c r="T78" s="372" t="str">
        <f t="shared" si="2"/>
        <v/>
      </c>
      <c r="U78" s="372"/>
      <c r="V78" s="372"/>
      <c r="W78" s="372"/>
      <c r="X78" s="372"/>
      <c r="Y78" s="370"/>
      <c r="Z78" s="370"/>
      <c r="AA78" s="370"/>
      <c r="AD78" s="8">
        <f t="shared" si="3"/>
        <v>0</v>
      </c>
    </row>
    <row r="79" spans="1:30" s="3" customFormat="1" ht="20.100000000000001" customHeight="1" x14ac:dyDescent="0.15">
      <c r="B79" s="371"/>
      <c r="C79" s="371"/>
      <c r="D79" s="371"/>
      <c r="E79" s="372"/>
      <c r="F79" s="372"/>
      <c r="G79" s="372"/>
      <c r="H79" s="372"/>
      <c r="I79" s="372"/>
      <c r="J79" s="372"/>
      <c r="K79" s="372"/>
      <c r="L79" s="372"/>
      <c r="M79" s="372"/>
      <c r="N79" s="372"/>
      <c r="O79" s="372"/>
      <c r="P79" s="372"/>
      <c r="Q79" s="372"/>
      <c r="R79" s="372"/>
      <c r="S79" s="372"/>
      <c r="T79" s="372" t="str">
        <f t="shared" si="2"/>
        <v/>
      </c>
      <c r="U79" s="372"/>
      <c r="V79" s="372"/>
      <c r="W79" s="372"/>
      <c r="X79" s="372"/>
      <c r="Y79" s="370"/>
      <c r="Z79" s="370"/>
      <c r="AA79" s="370"/>
      <c r="AD79" s="8">
        <f t="shared" si="3"/>
        <v>0</v>
      </c>
    </row>
    <row r="80" spans="1:30" s="3" customFormat="1" ht="20.100000000000001" customHeight="1" x14ac:dyDescent="0.15">
      <c r="B80" s="371"/>
      <c r="C80" s="371"/>
      <c r="D80" s="371"/>
      <c r="E80" s="372"/>
      <c r="F80" s="372"/>
      <c r="G80" s="372"/>
      <c r="H80" s="372"/>
      <c r="I80" s="372"/>
      <c r="J80" s="372"/>
      <c r="K80" s="372"/>
      <c r="L80" s="372"/>
      <c r="M80" s="372"/>
      <c r="N80" s="372"/>
      <c r="O80" s="372"/>
      <c r="P80" s="372"/>
      <c r="Q80" s="372"/>
      <c r="R80" s="372"/>
      <c r="S80" s="372"/>
      <c r="T80" s="372" t="str">
        <f t="shared" si="2"/>
        <v/>
      </c>
      <c r="U80" s="372"/>
      <c r="V80" s="372"/>
      <c r="W80" s="372"/>
      <c r="X80" s="372"/>
      <c r="Y80" s="370"/>
      <c r="Z80" s="370"/>
      <c r="AA80" s="370"/>
      <c r="AD80" s="8">
        <f t="shared" si="3"/>
        <v>0</v>
      </c>
    </row>
    <row r="81" spans="2:30" s="3" customFormat="1" ht="20.100000000000001" customHeight="1" x14ac:dyDescent="0.15">
      <c r="B81" s="371"/>
      <c r="C81" s="371"/>
      <c r="D81" s="371"/>
      <c r="E81" s="372"/>
      <c r="F81" s="372"/>
      <c r="G81" s="372"/>
      <c r="H81" s="372"/>
      <c r="I81" s="372"/>
      <c r="J81" s="372"/>
      <c r="K81" s="372"/>
      <c r="L81" s="372"/>
      <c r="M81" s="372"/>
      <c r="N81" s="372"/>
      <c r="O81" s="372"/>
      <c r="P81" s="372"/>
      <c r="Q81" s="372"/>
      <c r="R81" s="372"/>
      <c r="S81" s="372"/>
      <c r="T81" s="372" t="str">
        <f t="shared" si="2"/>
        <v/>
      </c>
      <c r="U81" s="372"/>
      <c r="V81" s="372"/>
      <c r="W81" s="372"/>
      <c r="X81" s="372"/>
      <c r="Y81" s="370"/>
      <c r="Z81" s="370"/>
      <c r="AA81" s="370"/>
      <c r="AD81" s="8">
        <f t="shared" si="3"/>
        <v>0</v>
      </c>
    </row>
    <row r="82" spans="2:30" s="3" customFormat="1" ht="20.100000000000001" customHeight="1" x14ac:dyDescent="0.15">
      <c r="B82" s="371"/>
      <c r="C82" s="371"/>
      <c r="D82" s="371"/>
      <c r="E82" s="372"/>
      <c r="F82" s="372"/>
      <c r="G82" s="372"/>
      <c r="H82" s="372"/>
      <c r="I82" s="372"/>
      <c r="J82" s="372"/>
      <c r="K82" s="372"/>
      <c r="L82" s="372"/>
      <c r="M82" s="372"/>
      <c r="N82" s="372"/>
      <c r="O82" s="372"/>
      <c r="P82" s="372"/>
      <c r="Q82" s="372"/>
      <c r="R82" s="372"/>
      <c r="S82" s="372"/>
      <c r="T82" s="372" t="str">
        <f t="shared" si="2"/>
        <v/>
      </c>
      <c r="U82" s="372"/>
      <c r="V82" s="372"/>
      <c r="W82" s="372"/>
      <c r="X82" s="372"/>
      <c r="Y82" s="370"/>
      <c r="Z82" s="370"/>
      <c r="AA82" s="370"/>
      <c r="AD82" s="8">
        <f t="shared" si="3"/>
        <v>0</v>
      </c>
    </row>
    <row r="83" spans="2:30" s="3" customFormat="1" ht="20.100000000000001" customHeight="1" x14ac:dyDescent="0.15">
      <c r="B83" s="371"/>
      <c r="C83" s="371"/>
      <c r="D83" s="371"/>
      <c r="E83" s="372"/>
      <c r="F83" s="372"/>
      <c r="G83" s="372"/>
      <c r="H83" s="372"/>
      <c r="I83" s="372"/>
      <c r="J83" s="372"/>
      <c r="K83" s="372"/>
      <c r="L83" s="372"/>
      <c r="M83" s="372"/>
      <c r="N83" s="372"/>
      <c r="O83" s="372"/>
      <c r="P83" s="372"/>
      <c r="Q83" s="372"/>
      <c r="R83" s="372"/>
      <c r="S83" s="372"/>
      <c r="T83" s="372" t="str">
        <f t="shared" si="2"/>
        <v/>
      </c>
      <c r="U83" s="372"/>
      <c r="V83" s="372"/>
      <c r="W83" s="372"/>
      <c r="X83" s="372"/>
      <c r="Y83" s="370"/>
      <c r="Z83" s="370"/>
      <c r="AA83" s="370"/>
      <c r="AD83" s="8">
        <f t="shared" si="3"/>
        <v>0</v>
      </c>
    </row>
    <row r="84" spans="2:30" s="3" customFormat="1" ht="20.100000000000001" customHeight="1" x14ac:dyDescent="0.15">
      <c r="B84" s="371"/>
      <c r="C84" s="371"/>
      <c r="D84" s="371"/>
      <c r="E84" s="372"/>
      <c r="F84" s="372"/>
      <c r="G84" s="372"/>
      <c r="H84" s="372"/>
      <c r="I84" s="372"/>
      <c r="J84" s="372"/>
      <c r="K84" s="372"/>
      <c r="L84" s="372"/>
      <c r="M84" s="372"/>
      <c r="N84" s="372"/>
      <c r="O84" s="372"/>
      <c r="P84" s="372"/>
      <c r="Q84" s="372"/>
      <c r="R84" s="372"/>
      <c r="S84" s="372"/>
      <c r="T84" s="372" t="str">
        <f t="shared" si="2"/>
        <v/>
      </c>
      <c r="U84" s="372"/>
      <c r="V84" s="372"/>
      <c r="W84" s="372"/>
      <c r="X84" s="372"/>
      <c r="Y84" s="370"/>
      <c r="Z84" s="370"/>
      <c r="AA84" s="370"/>
      <c r="AD84" s="8">
        <f t="shared" si="3"/>
        <v>0</v>
      </c>
    </row>
    <row r="85" spans="2:30" s="3" customFormat="1" ht="20.100000000000001" customHeight="1" x14ac:dyDescent="0.15">
      <c r="B85" s="371"/>
      <c r="C85" s="371"/>
      <c r="D85" s="371"/>
      <c r="E85" s="372"/>
      <c r="F85" s="372"/>
      <c r="G85" s="372"/>
      <c r="H85" s="372"/>
      <c r="I85" s="372"/>
      <c r="J85" s="372"/>
      <c r="K85" s="372"/>
      <c r="L85" s="372"/>
      <c r="M85" s="372"/>
      <c r="N85" s="372"/>
      <c r="O85" s="372"/>
      <c r="P85" s="372"/>
      <c r="Q85" s="372"/>
      <c r="R85" s="372"/>
      <c r="S85" s="372"/>
      <c r="T85" s="372" t="str">
        <f t="shared" si="2"/>
        <v/>
      </c>
      <c r="U85" s="372"/>
      <c r="V85" s="372"/>
      <c r="W85" s="372"/>
      <c r="X85" s="372"/>
      <c r="Y85" s="370"/>
      <c r="Z85" s="370"/>
      <c r="AA85" s="370"/>
      <c r="AD85" s="8">
        <f t="shared" si="3"/>
        <v>0</v>
      </c>
    </row>
    <row r="86" spans="2:30" s="3" customFormat="1" ht="20.100000000000001" customHeight="1" x14ac:dyDescent="0.15">
      <c r="B86" s="371"/>
      <c r="C86" s="371"/>
      <c r="D86" s="371"/>
      <c r="E86" s="372"/>
      <c r="F86" s="372"/>
      <c r="G86" s="372"/>
      <c r="H86" s="372"/>
      <c r="I86" s="372"/>
      <c r="J86" s="372"/>
      <c r="K86" s="372"/>
      <c r="L86" s="372"/>
      <c r="M86" s="372"/>
      <c r="N86" s="372"/>
      <c r="O86" s="372"/>
      <c r="P86" s="372"/>
      <c r="Q86" s="372"/>
      <c r="R86" s="372"/>
      <c r="S86" s="372"/>
      <c r="T86" s="372" t="str">
        <f t="shared" si="2"/>
        <v/>
      </c>
      <c r="U86" s="372"/>
      <c r="V86" s="372"/>
      <c r="W86" s="372"/>
      <c r="X86" s="372"/>
      <c r="Y86" s="370"/>
      <c r="Z86" s="370"/>
      <c r="AA86" s="370"/>
      <c r="AD86" s="8">
        <f t="shared" si="3"/>
        <v>0</v>
      </c>
    </row>
    <row r="87" spans="2:30" s="3" customFormat="1" ht="20.100000000000001" customHeight="1" x14ac:dyDescent="0.15">
      <c r="B87" s="371"/>
      <c r="C87" s="371"/>
      <c r="D87" s="371"/>
      <c r="E87" s="372"/>
      <c r="F87" s="372"/>
      <c r="G87" s="372"/>
      <c r="H87" s="372"/>
      <c r="I87" s="372"/>
      <c r="J87" s="372"/>
      <c r="K87" s="372"/>
      <c r="L87" s="372"/>
      <c r="M87" s="372"/>
      <c r="N87" s="372"/>
      <c r="O87" s="372"/>
      <c r="P87" s="372"/>
      <c r="Q87" s="372"/>
      <c r="R87" s="372"/>
      <c r="S87" s="372"/>
      <c r="T87" s="372" t="str">
        <f t="shared" si="2"/>
        <v/>
      </c>
      <c r="U87" s="372"/>
      <c r="V87" s="372"/>
      <c r="W87" s="372"/>
      <c r="X87" s="372"/>
      <c r="Y87" s="370"/>
      <c r="Z87" s="370"/>
      <c r="AA87" s="370"/>
      <c r="AD87" s="8">
        <f t="shared" si="3"/>
        <v>0</v>
      </c>
    </row>
    <row r="88" spans="2:30" s="3" customFormat="1" ht="20.100000000000001" customHeight="1" x14ac:dyDescent="0.15">
      <c r="B88" s="371"/>
      <c r="C88" s="371"/>
      <c r="D88" s="371"/>
      <c r="E88" s="372"/>
      <c r="F88" s="372"/>
      <c r="G88" s="372"/>
      <c r="H88" s="372"/>
      <c r="I88" s="372"/>
      <c r="J88" s="372"/>
      <c r="K88" s="372"/>
      <c r="L88" s="372"/>
      <c r="M88" s="372"/>
      <c r="N88" s="372"/>
      <c r="O88" s="372"/>
      <c r="P88" s="372"/>
      <c r="Q88" s="372"/>
      <c r="R88" s="372"/>
      <c r="S88" s="372"/>
      <c r="T88" s="372" t="str">
        <f t="shared" si="2"/>
        <v/>
      </c>
      <c r="U88" s="372"/>
      <c r="V88" s="372"/>
      <c r="W88" s="372"/>
      <c r="X88" s="372"/>
      <c r="Y88" s="370"/>
      <c r="Z88" s="370"/>
      <c r="AA88" s="370"/>
      <c r="AD88" s="8">
        <f t="shared" si="3"/>
        <v>0</v>
      </c>
    </row>
    <row r="89" spans="2:30" s="3" customFormat="1" ht="20.100000000000001" customHeight="1" x14ac:dyDescent="0.15">
      <c r="B89" s="371"/>
      <c r="C89" s="371"/>
      <c r="D89" s="371"/>
      <c r="E89" s="372"/>
      <c r="F89" s="372"/>
      <c r="G89" s="372"/>
      <c r="H89" s="372"/>
      <c r="I89" s="372"/>
      <c r="J89" s="372"/>
      <c r="K89" s="372"/>
      <c r="L89" s="372"/>
      <c r="M89" s="372"/>
      <c r="N89" s="372"/>
      <c r="O89" s="372"/>
      <c r="P89" s="372"/>
      <c r="Q89" s="372"/>
      <c r="R89" s="372"/>
      <c r="S89" s="372"/>
      <c r="T89" s="372" t="str">
        <f t="shared" si="2"/>
        <v/>
      </c>
      <c r="U89" s="372"/>
      <c r="V89" s="372"/>
      <c r="W89" s="372"/>
      <c r="X89" s="372"/>
      <c r="Y89" s="370"/>
      <c r="Z89" s="370"/>
      <c r="AA89" s="370"/>
      <c r="AD89" s="8">
        <f t="shared" si="3"/>
        <v>0</v>
      </c>
    </row>
    <row r="90" spans="2:30" s="3" customFormat="1" ht="20.100000000000001" customHeight="1" x14ac:dyDescent="0.15">
      <c r="B90" s="371"/>
      <c r="C90" s="371"/>
      <c r="D90" s="371"/>
      <c r="E90" s="372"/>
      <c r="F90" s="372"/>
      <c r="G90" s="372"/>
      <c r="H90" s="372"/>
      <c r="I90" s="372"/>
      <c r="J90" s="372"/>
      <c r="K90" s="372"/>
      <c r="L90" s="372"/>
      <c r="M90" s="372"/>
      <c r="N90" s="372"/>
      <c r="O90" s="372"/>
      <c r="P90" s="372"/>
      <c r="Q90" s="372"/>
      <c r="R90" s="372"/>
      <c r="S90" s="372"/>
      <c r="T90" s="372" t="str">
        <f t="shared" si="2"/>
        <v/>
      </c>
      <c r="U90" s="372"/>
      <c r="V90" s="372"/>
      <c r="W90" s="372"/>
      <c r="X90" s="372"/>
      <c r="Y90" s="370"/>
      <c r="Z90" s="370"/>
      <c r="AA90" s="370"/>
      <c r="AD90" s="8">
        <f t="shared" si="3"/>
        <v>0</v>
      </c>
    </row>
    <row r="91" spans="2:30" s="3" customFormat="1" ht="20.100000000000001" customHeight="1" x14ac:dyDescent="0.15">
      <c r="B91" s="371"/>
      <c r="C91" s="371"/>
      <c r="D91" s="371"/>
      <c r="E91" s="372"/>
      <c r="F91" s="372"/>
      <c r="G91" s="372"/>
      <c r="H91" s="372"/>
      <c r="I91" s="372"/>
      <c r="J91" s="372"/>
      <c r="K91" s="372"/>
      <c r="L91" s="372"/>
      <c r="M91" s="372"/>
      <c r="N91" s="372"/>
      <c r="O91" s="372"/>
      <c r="P91" s="372"/>
      <c r="Q91" s="372"/>
      <c r="R91" s="372"/>
      <c r="S91" s="372"/>
      <c r="T91" s="372" t="str">
        <f t="shared" si="2"/>
        <v/>
      </c>
      <c r="U91" s="372"/>
      <c r="V91" s="372"/>
      <c r="W91" s="372"/>
      <c r="X91" s="372"/>
      <c r="Y91" s="370"/>
      <c r="Z91" s="370"/>
      <c r="AA91" s="370"/>
      <c r="AD91" s="8">
        <f t="shared" si="3"/>
        <v>0</v>
      </c>
    </row>
    <row r="92" spans="2:30" s="3" customFormat="1" ht="20.100000000000001" customHeight="1" x14ac:dyDescent="0.15">
      <c r="B92" s="371"/>
      <c r="C92" s="371"/>
      <c r="D92" s="371"/>
      <c r="E92" s="372"/>
      <c r="F92" s="372"/>
      <c r="G92" s="372"/>
      <c r="H92" s="372"/>
      <c r="I92" s="372"/>
      <c r="J92" s="372"/>
      <c r="K92" s="372"/>
      <c r="L92" s="372"/>
      <c r="M92" s="372"/>
      <c r="N92" s="372"/>
      <c r="O92" s="372"/>
      <c r="P92" s="372"/>
      <c r="Q92" s="372"/>
      <c r="R92" s="372"/>
      <c r="S92" s="372"/>
      <c r="T92" s="372" t="str">
        <f t="shared" si="2"/>
        <v/>
      </c>
      <c r="U92" s="372"/>
      <c r="V92" s="372"/>
      <c r="W92" s="372"/>
      <c r="X92" s="372"/>
      <c r="Y92" s="370"/>
      <c r="Z92" s="370"/>
      <c r="AA92" s="370"/>
      <c r="AD92" s="8">
        <f t="shared" si="3"/>
        <v>0</v>
      </c>
    </row>
    <row r="93" spans="2:30" s="3" customFormat="1" ht="20.100000000000001" customHeight="1" x14ac:dyDescent="0.15">
      <c r="B93" s="371"/>
      <c r="C93" s="371"/>
      <c r="D93" s="371"/>
      <c r="E93" s="372"/>
      <c r="F93" s="372"/>
      <c r="G93" s="372"/>
      <c r="H93" s="372"/>
      <c r="I93" s="372"/>
      <c r="J93" s="372"/>
      <c r="K93" s="372"/>
      <c r="L93" s="372"/>
      <c r="M93" s="372"/>
      <c r="N93" s="372"/>
      <c r="O93" s="372"/>
      <c r="P93" s="372"/>
      <c r="Q93" s="372"/>
      <c r="R93" s="372"/>
      <c r="S93" s="372"/>
      <c r="T93" s="372" t="str">
        <f t="shared" si="2"/>
        <v/>
      </c>
      <c r="U93" s="372"/>
      <c r="V93" s="372"/>
      <c r="W93" s="372"/>
      <c r="X93" s="372"/>
      <c r="Y93" s="370"/>
      <c r="Z93" s="370"/>
      <c r="AA93" s="370"/>
      <c r="AD93" s="8">
        <f t="shared" si="3"/>
        <v>0</v>
      </c>
    </row>
    <row r="94" spans="2:30" s="3" customFormat="1" ht="20.100000000000001" customHeight="1" x14ac:dyDescent="0.15">
      <c r="B94" s="371"/>
      <c r="C94" s="371"/>
      <c r="D94" s="371"/>
      <c r="E94" s="372"/>
      <c r="F94" s="372"/>
      <c r="G94" s="372"/>
      <c r="H94" s="372"/>
      <c r="I94" s="372"/>
      <c r="J94" s="372"/>
      <c r="K94" s="372"/>
      <c r="L94" s="372"/>
      <c r="M94" s="372"/>
      <c r="N94" s="372"/>
      <c r="O94" s="372"/>
      <c r="P94" s="372"/>
      <c r="Q94" s="372"/>
      <c r="R94" s="372"/>
      <c r="S94" s="372"/>
      <c r="T94" s="372" t="str">
        <f t="shared" si="2"/>
        <v/>
      </c>
      <c r="U94" s="372"/>
      <c r="V94" s="372"/>
      <c r="W94" s="372"/>
      <c r="X94" s="372"/>
      <c r="Y94" s="370"/>
      <c r="Z94" s="370"/>
      <c r="AA94" s="370"/>
      <c r="AD94" s="8">
        <f t="shared" si="3"/>
        <v>0</v>
      </c>
    </row>
    <row r="95" spans="2:30" s="3" customFormat="1" ht="20.100000000000001" customHeight="1" x14ac:dyDescent="0.15">
      <c r="B95" s="371"/>
      <c r="C95" s="371"/>
      <c r="D95" s="371"/>
      <c r="E95" s="372"/>
      <c r="F95" s="372"/>
      <c r="G95" s="372"/>
      <c r="H95" s="372"/>
      <c r="I95" s="372"/>
      <c r="J95" s="372"/>
      <c r="K95" s="372"/>
      <c r="L95" s="372"/>
      <c r="M95" s="372"/>
      <c r="N95" s="372"/>
      <c r="O95" s="372"/>
      <c r="P95" s="372"/>
      <c r="Q95" s="372"/>
      <c r="R95" s="372"/>
      <c r="S95" s="372"/>
      <c r="T95" s="372" t="str">
        <f t="shared" si="2"/>
        <v/>
      </c>
      <c r="U95" s="372"/>
      <c r="V95" s="372"/>
      <c r="W95" s="372"/>
      <c r="X95" s="372"/>
      <c r="Y95" s="370"/>
      <c r="Z95" s="370"/>
      <c r="AA95" s="370"/>
      <c r="AD95" s="8">
        <f t="shared" si="3"/>
        <v>0</v>
      </c>
    </row>
    <row r="96" spans="2:30" s="3" customFormat="1" ht="20.100000000000001" customHeight="1" x14ac:dyDescent="0.15">
      <c r="B96" s="371"/>
      <c r="C96" s="371"/>
      <c r="D96" s="371"/>
      <c r="E96" s="372"/>
      <c r="F96" s="372"/>
      <c r="G96" s="372"/>
      <c r="H96" s="372"/>
      <c r="I96" s="372"/>
      <c r="J96" s="372"/>
      <c r="K96" s="372"/>
      <c r="L96" s="372"/>
      <c r="M96" s="372"/>
      <c r="N96" s="372"/>
      <c r="O96" s="372"/>
      <c r="P96" s="372"/>
      <c r="Q96" s="372"/>
      <c r="R96" s="372"/>
      <c r="S96" s="372"/>
      <c r="T96" s="372" t="str">
        <f t="shared" si="2"/>
        <v/>
      </c>
      <c r="U96" s="372"/>
      <c r="V96" s="372"/>
      <c r="W96" s="372"/>
      <c r="X96" s="372"/>
      <c r="Y96" s="370"/>
      <c r="Z96" s="370"/>
      <c r="AA96" s="370"/>
      <c r="AD96" s="8">
        <f t="shared" si="3"/>
        <v>0</v>
      </c>
    </row>
    <row r="97" spans="2:30" s="3" customFormat="1" ht="20.100000000000001" customHeight="1" x14ac:dyDescent="0.15">
      <c r="B97" s="371"/>
      <c r="C97" s="371"/>
      <c r="D97" s="371"/>
      <c r="E97" s="372"/>
      <c r="F97" s="372"/>
      <c r="G97" s="372"/>
      <c r="H97" s="372"/>
      <c r="I97" s="372"/>
      <c r="J97" s="372"/>
      <c r="K97" s="372"/>
      <c r="L97" s="372"/>
      <c r="M97" s="372"/>
      <c r="N97" s="372"/>
      <c r="O97" s="372"/>
      <c r="P97" s="372"/>
      <c r="Q97" s="372"/>
      <c r="R97" s="372"/>
      <c r="S97" s="372"/>
      <c r="T97" s="372" t="str">
        <f t="shared" si="2"/>
        <v/>
      </c>
      <c r="U97" s="372"/>
      <c r="V97" s="372"/>
      <c r="W97" s="372"/>
      <c r="X97" s="372"/>
      <c r="Y97" s="370"/>
      <c r="Z97" s="370"/>
      <c r="AA97" s="370"/>
      <c r="AD97" s="8">
        <f t="shared" si="3"/>
        <v>0</v>
      </c>
    </row>
    <row r="98" spans="2:30" s="3" customFormat="1" ht="20.100000000000001" customHeight="1" x14ac:dyDescent="0.15">
      <c r="B98" s="371"/>
      <c r="C98" s="371"/>
      <c r="D98" s="371"/>
      <c r="E98" s="372"/>
      <c r="F98" s="372"/>
      <c r="G98" s="372"/>
      <c r="H98" s="372"/>
      <c r="I98" s="372"/>
      <c r="J98" s="372"/>
      <c r="K98" s="372"/>
      <c r="L98" s="372"/>
      <c r="M98" s="372"/>
      <c r="N98" s="372"/>
      <c r="O98" s="372"/>
      <c r="P98" s="372"/>
      <c r="Q98" s="372"/>
      <c r="R98" s="372"/>
      <c r="S98" s="372"/>
      <c r="T98" s="372" t="str">
        <f t="shared" si="2"/>
        <v/>
      </c>
      <c r="U98" s="372"/>
      <c r="V98" s="372"/>
      <c r="W98" s="372"/>
      <c r="X98" s="372"/>
      <c r="Y98" s="370"/>
      <c r="Z98" s="370"/>
      <c r="AA98" s="370"/>
      <c r="AD98" s="8">
        <f t="shared" si="3"/>
        <v>0</v>
      </c>
    </row>
    <row r="99" spans="2:30" s="3" customFormat="1" ht="20.100000000000001" customHeight="1" x14ac:dyDescent="0.15">
      <c r="B99" s="371"/>
      <c r="C99" s="371"/>
      <c r="D99" s="371"/>
      <c r="E99" s="372"/>
      <c r="F99" s="372"/>
      <c r="G99" s="372"/>
      <c r="H99" s="372"/>
      <c r="I99" s="372"/>
      <c r="J99" s="372"/>
      <c r="K99" s="372"/>
      <c r="L99" s="372"/>
      <c r="M99" s="372"/>
      <c r="N99" s="372"/>
      <c r="O99" s="372"/>
      <c r="P99" s="372"/>
      <c r="Q99" s="372"/>
      <c r="R99" s="372"/>
      <c r="S99" s="372"/>
      <c r="T99" s="372" t="str">
        <f t="shared" si="2"/>
        <v/>
      </c>
      <c r="U99" s="372"/>
      <c r="V99" s="372"/>
      <c r="W99" s="372"/>
      <c r="X99" s="372"/>
      <c r="Y99" s="370"/>
      <c r="Z99" s="370"/>
      <c r="AA99" s="370"/>
      <c r="AD99" s="8">
        <f t="shared" si="3"/>
        <v>0</v>
      </c>
    </row>
    <row r="100" spans="2:30" s="3" customFormat="1" ht="20.100000000000001" customHeight="1" x14ac:dyDescent="0.15">
      <c r="B100" s="371"/>
      <c r="C100" s="371"/>
      <c r="D100" s="371"/>
      <c r="E100" s="372"/>
      <c r="F100" s="372"/>
      <c r="G100" s="372"/>
      <c r="H100" s="372"/>
      <c r="I100" s="372"/>
      <c r="J100" s="372"/>
      <c r="K100" s="372"/>
      <c r="L100" s="372"/>
      <c r="M100" s="372"/>
      <c r="N100" s="372"/>
      <c r="O100" s="372"/>
      <c r="P100" s="372"/>
      <c r="Q100" s="372"/>
      <c r="R100" s="372"/>
      <c r="S100" s="372"/>
      <c r="T100" s="372" t="str">
        <f t="shared" si="2"/>
        <v/>
      </c>
      <c r="U100" s="372"/>
      <c r="V100" s="372"/>
      <c r="W100" s="372"/>
      <c r="X100" s="372"/>
      <c r="Y100" s="370"/>
      <c r="Z100" s="370"/>
      <c r="AA100" s="370"/>
      <c r="AD100" s="8">
        <f t="shared" si="3"/>
        <v>0</v>
      </c>
    </row>
    <row r="101" spans="2:30" s="3" customFormat="1" ht="20.100000000000001" customHeight="1" x14ac:dyDescent="0.15">
      <c r="B101" s="371"/>
      <c r="C101" s="371"/>
      <c r="D101" s="371"/>
      <c r="E101" s="372"/>
      <c r="F101" s="372"/>
      <c r="G101" s="372"/>
      <c r="H101" s="372"/>
      <c r="I101" s="372"/>
      <c r="J101" s="372"/>
      <c r="K101" s="372"/>
      <c r="L101" s="372"/>
      <c r="M101" s="372"/>
      <c r="N101" s="372"/>
      <c r="O101" s="372"/>
      <c r="P101" s="372"/>
      <c r="Q101" s="372"/>
      <c r="R101" s="372"/>
      <c r="S101" s="372"/>
      <c r="T101" s="372" t="str">
        <f t="shared" si="2"/>
        <v/>
      </c>
      <c r="U101" s="372"/>
      <c r="V101" s="372"/>
      <c r="W101" s="372"/>
      <c r="X101" s="372"/>
      <c r="Y101" s="370"/>
      <c r="Z101" s="370"/>
      <c r="AA101" s="370"/>
      <c r="AD101" s="8">
        <f t="shared" si="3"/>
        <v>0</v>
      </c>
    </row>
    <row r="102" spans="2:30" s="3" customFormat="1" ht="20.100000000000001" customHeight="1" x14ac:dyDescent="0.15">
      <c r="B102" s="371"/>
      <c r="C102" s="371"/>
      <c r="D102" s="371"/>
      <c r="E102" s="372"/>
      <c r="F102" s="372"/>
      <c r="G102" s="372"/>
      <c r="H102" s="372"/>
      <c r="I102" s="372"/>
      <c r="J102" s="372"/>
      <c r="K102" s="372"/>
      <c r="L102" s="372"/>
      <c r="M102" s="372"/>
      <c r="N102" s="372"/>
      <c r="O102" s="372"/>
      <c r="P102" s="372"/>
      <c r="Q102" s="372"/>
      <c r="R102" s="372"/>
      <c r="S102" s="372"/>
      <c r="T102" s="372" t="str">
        <f t="shared" si="2"/>
        <v/>
      </c>
      <c r="U102" s="372"/>
      <c r="V102" s="372"/>
      <c r="W102" s="372"/>
      <c r="X102" s="372"/>
      <c r="Y102" s="370"/>
      <c r="Z102" s="370"/>
      <c r="AA102" s="370"/>
      <c r="AD102" s="8">
        <f t="shared" si="3"/>
        <v>0</v>
      </c>
    </row>
    <row r="103" spans="2:30" s="3" customFormat="1" ht="20.100000000000001" customHeight="1" x14ac:dyDescent="0.15">
      <c r="B103" s="371"/>
      <c r="C103" s="371"/>
      <c r="D103" s="371"/>
      <c r="E103" s="372"/>
      <c r="F103" s="372"/>
      <c r="G103" s="372"/>
      <c r="H103" s="372"/>
      <c r="I103" s="372"/>
      <c r="J103" s="372"/>
      <c r="K103" s="372"/>
      <c r="L103" s="372"/>
      <c r="M103" s="372"/>
      <c r="N103" s="372"/>
      <c r="O103" s="372"/>
      <c r="P103" s="372"/>
      <c r="Q103" s="372"/>
      <c r="R103" s="372"/>
      <c r="S103" s="372"/>
      <c r="T103" s="372" t="str">
        <f t="shared" si="2"/>
        <v/>
      </c>
      <c r="U103" s="372"/>
      <c r="V103" s="372"/>
      <c r="W103" s="372"/>
      <c r="X103" s="372"/>
      <c r="Y103" s="370"/>
      <c r="Z103" s="370"/>
      <c r="AA103" s="370"/>
      <c r="AD103" s="8">
        <f t="shared" si="3"/>
        <v>0</v>
      </c>
    </row>
    <row r="104" spans="2:30" s="3" customFormat="1" ht="20.100000000000001" customHeight="1" x14ac:dyDescent="0.15">
      <c r="B104" s="371"/>
      <c r="C104" s="371"/>
      <c r="D104" s="371"/>
      <c r="E104" s="372"/>
      <c r="F104" s="372"/>
      <c r="G104" s="372"/>
      <c r="H104" s="372"/>
      <c r="I104" s="372"/>
      <c r="J104" s="372"/>
      <c r="K104" s="372"/>
      <c r="L104" s="372"/>
      <c r="M104" s="372"/>
      <c r="N104" s="372"/>
      <c r="O104" s="372"/>
      <c r="P104" s="372"/>
      <c r="Q104" s="372"/>
      <c r="R104" s="372"/>
      <c r="S104" s="372"/>
      <c r="T104" s="372" t="str">
        <f t="shared" si="2"/>
        <v/>
      </c>
      <c r="U104" s="372"/>
      <c r="V104" s="372"/>
      <c r="W104" s="372"/>
      <c r="X104" s="372"/>
      <c r="Y104" s="370"/>
      <c r="Z104" s="370"/>
      <c r="AA104" s="370"/>
      <c r="AD104" s="8">
        <f t="shared" si="3"/>
        <v>0</v>
      </c>
    </row>
    <row r="105" spans="2:30" s="3" customFormat="1" ht="20.100000000000001" customHeight="1" x14ac:dyDescent="0.15">
      <c r="B105" s="371"/>
      <c r="C105" s="371"/>
      <c r="D105" s="371"/>
      <c r="E105" s="372"/>
      <c r="F105" s="372"/>
      <c r="G105" s="372"/>
      <c r="H105" s="372"/>
      <c r="I105" s="372"/>
      <c r="J105" s="372"/>
      <c r="K105" s="372"/>
      <c r="L105" s="372"/>
      <c r="M105" s="372"/>
      <c r="N105" s="372"/>
      <c r="O105" s="372"/>
      <c r="P105" s="372"/>
      <c r="Q105" s="372"/>
      <c r="R105" s="372"/>
      <c r="S105" s="372"/>
      <c r="T105" s="372" t="str">
        <f t="shared" si="2"/>
        <v/>
      </c>
      <c r="U105" s="372"/>
      <c r="V105" s="372"/>
      <c r="W105" s="372"/>
      <c r="X105" s="372"/>
      <c r="Y105" s="370"/>
      <c r="Z105" s="370"/>
      <c r="AA105" s="370"/>
      <c r="AD105" s="8">
        <f t="shared" si="3"/>
        <v>0</v>
      </c>
    </row>
    <row r="106" spans="2:30" s="3" customFormat="1" ht="20.100000000000001" customHeight="1" x14ac:dyDescent="0.15">
      <c r="B106" s="371"/>
      <c r="C106" s="371"/>
      <c r="D106" s="371"/>
      <c r="E106" s="372"/>
      <c r="F106" s="372"/>
      <c r="G106" s="372"/>
      <c r="H106" s="372"/>
      <c r="I106" s="372"/>
      <c r="J106" s="372"/>
      <c r="K106" s="372"/>
      <c r="L106" s="372"/>
      <c r="M106" s="372"/>
      <c r="N106" s="372"/>
      <c r="O106" s="372"/>
      <c r="P106" s="372"/>
      <c r="Q106" s="372"/>
      <c r="R106" s="372"/>
      <c r="S106" s="372"/>
      <c r="T106" s="372" t="str">
        <f t="shared" si="2"/>
        <v/>
      </c>
      <c r="U106" s="372"/>
      <c r="V106" s="372"/>
      <c r="W106" s="372"/>
      <c r="X106" s="372"/>
      <c r="Y106" s="370"/>
      <c r="Z106" s="370"/>
      <c r="AA106" s="370"/>
      <c r="AD106" s="8">
        <f t="shared" si="3"/>
        <v>0</v>
      </c>
    </row>
    <row r="107" spans="2:30" s="3" customFormat="1" ht="20.100000000000001" customHeight="1" x14ac:dyDescent="0.15">
      <c r="B107" s="371"/>
      <c r="C107" s="371"/>
      <c r="D107" s="371"/>
      <c r="E107" s="372"/>
      <c r="F107" s="372"/>
      <c r="G107" s="372"/>
      <c r="H107" s="372"/>
      <c r="I107" s="372"/>
      <c r="J107" s="372"/>
      <c r="K107" s="372"/>
      <c r="L107" s="372"/>
      <c r="M107" s="372"/>
      <c r="N107" s="372"/>
      <c r="O107" s="372"/>
      <c r="P107" s="372"/>
      <c r="Q107" s="372"/>
      <c r="R107" s="372"/>
      <c r="S107" s="372"/>
      <c r="T107" s="372" t="str">
        <f t="shared" si="2"/>
        <v/>
      </c>
      <c r="U107" s="372"/>
      <c r="V107" s="372"/>
      <c r="W107" s="372"/>
      <c r="X107" s="372"/>
      <c r="Y107" s="370"/>
      <c r="Z107" s="370"/>
      <c r="AA107" s="370"/>
      <c r="AD107" s="8">
        <f t="shared" si="3"/>
        <v>0</v>
      </c>
    </row>
    <row r="108" spans="2:30" s="3" customFormat="1" ht="20.100000000000001" customHeight="1" x14ac:dyDescent="0.15">
      <c r="B108" s="371"/>
      <c r="C108" s="371"/>
      <c r="D108" s="371"/>
      <c r="E108" s="372"/>
      <c r="F108" s="372"/>
      <c r="G108" s="372"/>
      <c r="H108" s="372"/>
      <c r="I108" s="372"/>
      <c r="J108" s="372"/>
      <c r="K108" s="372"/>
      <c r="L108" s="372"/>
      <c r="M108" s="372"/>
      <c r="N108" s="372"/>
      <c r="O108" s="372"/>
      <c r="P108" s="372"/>
      <c r="Q108" s="372"/>
      <c r="R108" s="372"/>
      <c r="S108" s="372"/>
      <c r="T108" s="372" t="str">
        <f t="shared" si="2"/>
        <v/>
      </c>
      <c r="U108" s="372"/>
      <c r="V108" s="372"/>
      <c r="W108" s="372"/>
      <c r="X108" s="372"/>
      <c r="Y108" s="370"/>
      <c r="Z108" s="370"/>
      <c r="AA108" s="370"/>
      <c r="AD108" s="8">
        <f t="shared" si="3"/>
        <v>0</v>
      </c>
    </row>
    <row r="109" spans="2:30" s="3" customFormat="1" ht="20.100000000000001" customHeight="1" x14ac:dyDescent="0.15">
      <c r="B109" s="371"/>
      <c r="C109" s="371"/>
      <c r="D109" s="371"/>
      <c r="E109" s="372"/>
      <c r="F109" s="372"/>
      <c r="G109" s="372"/>
      <c r="H109" s="372"/>
      <c r="I109" s="372"/>
      <c r="J109" s="372"/>
      <c r="K109" s="372"/>
      <c r="L109" s="372"/>
      <c r="M109" s="372"/>
      <c r="N109" s="372"/>
      <c r="O109" s="372"/>
      <c r="P109" s="372"/>
      <c r="Q109" s="372"/>
      <c r="R109" s="372"/>
      <c r="S109" s="372"/>
      <c r="T109" s="372" t="str">
        <f t="shared" si="2"/>
        <v/>
      </c>
      <c r="U109" s="372"/>
      <c r="V109" s="372"/>
      <c r="W109" s="372"/>
      <c r="X109" s="372"/>
      <c r="Y109" s="370"/>
      <c r="Z109" s="370"/>
      <c r="AA109" s="370"/>
      <c r="AD109" s="8">
        <f t="shared" si="3"/>
        <v>0</v>
      </c>
    </row>
    <row r="110" spans="2:30" s="3" customFormat="1" ht="20.100000000000001" customHeight="1" x14ac:dyDescent="0.15">
      <c r="B110" s="371"/>
      <c r="C110" s="371"/>
      <c r="D110" s="371"/>
      <c r="E110" s="372"/>
      <c r="F110" s="372"/>
      <c r="G110" s="372"/>
      <c r="H110" s="372"/>
      <c r="I110" s="372"/>
      <c r="J110" s="372"/>
      <c r="K110" s="372"/>
      <c r="L110" s="372"/>
      <c r="M110" s="372"/>
      <c r="N110" s="372"/>
      <c r="O110" s="372"/>
      <c r="P110" s="372"/>
      <c r="Q110" s="372"/>
      <c r="R110" s="372"/>
      <c r="S110" s="372"/>
      <c r="T110" s="372" t="str">
        <f t="shared" si="2"/>
        <v/>
      </c>
      <c r="U110" s="372"/>
      <c r="V110" s="372"/>
      <c r="W110" s="372"/>
      <c r="X110" s="372"/>
      <c r="Y110" s="370"/>
      <c r="Z110" s="370"/>
      <c r="AA110" s="370"/>
      <c r="AD110" s="8">
        <f t="shared" si="3"/>
        <v>0</v>
      </c>
    </row>
    <row r="111" spans="2:30" s="3" customFormat="1" ht="20.100000000000001" customHeight="1" x14ac:dyDescent="0.15">
      <c r="B111" s="371"/>
      <c r="C111" s="371"/>
      <c r="D111" s="371"/>
      <c r="E111" s="372"/>
      <c r="F111" s="372"/>
      <c r="G111" s="372"/>
      <c r="H111" s="372"/>
      <c r="I111" s="372"/>
      <c r="J111" s="372"/>
      <c r="K111" s="372"/>
      <c r="L111" s="372"/>
      <c r="M111" s="372"/>
      <c r="N111" s="372"/>
      <c r="O111" s="372"/>
      <c r="P111" s="372"/>
      <c r="Q111" s="372"/>
      <c r="R111" s="372"/>
      <c r="S111" s="372"/>
      <c r="T111" s="372" t="str">
        <f t="shared" si="2"/>
        <v/>
      </c>
      <c r="U111" s="372"/>
      <c r="V111" s="372"/>
      <c r="W111" s="372"/>
      <c r="X111" s="372"/>
      <c r="Y111" s="370"/>
      <c r="Z111" s="370"/>
      <c r="AA111" s="370"/>
      <c r="AD111" s="8">
        <f t="shared" si="3"/>
        <v>0</v>
      </c>
    </row>
    <row r="112" spans="2:30" s="3" customFormat="1" ht="20.100000000000001" customHeight="1" x14ac:dyDescent="0.15">
      <c r="B112" s="371"/>
      <c r="C112" s="371"/>
      <c r="D112" s="371"/>
      <c r="E112" s="372"/>
      <c r="F112" s="372"/>
      <c r="G112" s="372"/>
      <c r="H112" s="372"/>
      <c r="I112" s="372"/>
      <c r="J112" s="372"/>
      <c r="K112" s="372"/>
      <c r="L112" s="372"/>
      <c r="M112" s="372"/>
      <c r="N112" s="372"/>
      <c r="O112" s="372"/>
      <c r="P112" s="372"/>
      <c r="Q112" s="372"/>
      <c r="R112" s="372"/>
      <c r="S112" s="372"/>
      <c r="T112" s="372" t="str">
        <f t="shared" si="2"/>
        <v/>
      </c>
      <c r="U112" s="372"/>
      <c r="V112" s="372"/>
      <c r="W112" s="372"/>
      <c r="X112" s="372"/>
      <c r="Y112" s="370"/>
      <c r="Z112" s="370"/>
      <c r="AA112" s="370"/>
      <c r="AD112" s="8">
        <f t="shared" si="3"/>
        <v>0</v>
      </c>
    </row>
    <row r="113" spans="2:30" s="3" customFormat="1" ht="20.100000000000001" customHeight="1" x14ac:dyDescent="0.15">
      <c r="B113" s="371"/>
      <c r="C113" s="371"/>
      <c r="D113" s="371"/>
      <c r="E113" s="372"/>
      <c r="F113" s="372"/>
      <c r="G113" s="372"/>
      <c r="H113" s="372"/>
      <c r="I113" s="372"/>
      <c r="J113" s="372"/>
      <c r="K113" s="372"/>
      <c r="L113" s="372"/>
      <c r="M113" s="372"/>
      <c r="N113" s="372"/>
      <c r="O113" s="372"/>
      <c r="P113" s="372"/>
      <c r="Q113" s="372"/>
      <c r="R113" s="372"/>
      <c r="S113" s="372"/>
      <c r="T113" s="372" t="str">
        <f t="shared" si="2"/>
        <v/>
      </c>
      <c r="U113" s="372"/>
      <c r="V113" s="372"/>
      <c r="W113" s="372"/>
      <c r="X113" s="372"/>
      <c r="Y113" s="370"/>
      <c r="Z113" s="370"/>
      <c r="AA113" s="370"/>
      <c r="AD113" s="8">
        <f t="shared" si="3"/>
        <v>0</v>
      </c>
    </row>
    <row r="114" spans="2:30" s="3" customFormat="1" ht="15" customHeight="1" x14ac:dyDescent="0.15"/>
    <row r="115" spans="2:30" s="3" customFormat="1" ht="15" customHeight="1" x14ac:dyDescent="0.15"/>
    <row r="116" spans="2:30" s="3" customFormat="1" ht="15" customHeight="1" x14ac:dyDescent="0.15">
      <c r="Y116" s="507"/>
      <c r="Z116" s="507"/>
      <c r="AA116" s="507"/>
    </row>
  </sheetData>
  <mergeCells count="608">
    <mergeCell ref="A1:AB1"/>
    <mergeCell ref="A4:AB5"/>
    <mergeCell ref="E7:G7"/>
    <mergeCell ref="H7:W7"/>
    <mergeCell ref="E8:G9"/>
    <mergeCell ref="H8:W8"/>
    <mergeCell ref="H9:W9"/>
    <mergeCell ref="Y13:AA13"/>
    <mergeCell ref="B15:D15"/>
    <mergeCell ref="E15:H15"/>
    <mergeCell ref="I15:L15"/>
    <mergeCell ref="M15:P15"/>
    <mergeCell ref="Q15:S15"/>
    <mergeCell ref="T15:X15"/>
    <mergeCell ref="Y15:AA15"/>
    <mergeCell ref="E10:G10"/>
    <mergeCell ref="H10:W10"/>
    <mergeCell ref="B13:D13"/>
    <mergeCell ref="E13:H13"/>
    <mergeCell ref="I13:L13"/>
    <mergeCell ref="M13:P13"/>
    <mergeCell ref="Q13:S13"/>
    <mergeCell ref="T13:X13"/>
    <mergeCell ref="Y16:AA16"/>
    <mergeCell ref="B17:D17"/>
    <mergeCell ref="E17:H17"/>
    <mergeCell ref="I17:L17"/>
    <mergeCell ref="M17:P17"/>
    <mergeCell ref="Q17:S17"/>
    <mergeCell ref="T17:X17"/>
    <mergeCell ref="Y17:AA17"/>
    <mergeCell ref="B16:D16"/>
    <mergeCell ref="E16:H16"/>
    <mergeCell ref="I16:L16"/>
    <mergeCell ref="M16:P16"/>
    <mergeCell ref="Q16:S16"/>
    <mergeCell ref="T16:X16"/>
    <mergeCell ref="Y18:AA18"/>
    <mergeCell ref="B19:D19"/>
    <mergeCell ref="E19:H19"/>
    <mergeCell ref="I19:L19"/>
    <mergeCell ref="M19:P19"/>
    <mergeCell ref="Q19:S19"/>
    <mergeCell ref="T19:X19"/>
    <mergeCell ref="Y19:AA19"/>
    <mergeCell ref="B18:D18"/>
    <mergeCell ref="E18:H18"/>
    <mergeCell ref="I18:L18"/>
    <mergeCell ref="M18:P18"/>
    <mergeCell ref="Q18:S18"/>
    <mergeCell ref="T18:X18"/>
    <mergeCell ref="Y20:AA20"/>
    <mergeCell ref="B21:D21"/>
    <mergeCell ref="E21:H21"/>
    <mergeCell ref="I21:L21"/>
    <mergeCell ref="M21:P21"/>
    <mergeCell ref="Q21:S21"/>
    <mergeCell ref="T21:X21"/>
    <mergeCell ref="Y21:AA21"/>
    <mergeCell ref="B20:D20"/>
    <mergeCell ref="E20:H20"/>
    <mergeCell ref="I20:L20"/>
    <mergeCell ref="M20:P20"/>
    <mergeCell ref="Q20:S20"/>
    <mergeCell ref="T20:X20"/>
    <mergeCell ref="Y22:AA22"/>
    <mergeCell ref="B23:D23"/>
    <mergeCell ref="E23:H23"/>
    <mergeCell ref="I23:L23"/>
    <mergeCell ref="M23:P23"/>
    <mergeCell ref="Q23:S23"/>
    <mergeCell ref="T23:X23"/>
    <mergeCell ref="Y23:AA23"/>
    <mergeCell ref="B22:D22"/>
    <mergeCell ref="E22:H22"/>
    <mergeCell ref="I22:L22"/>
    <mergeCell ref="M22:P22"/>
    <mergeCell ref="Q22:S22"/>
    <mergeCell ref="T22:X22"/>
    <mergeCell ref="Y24:AA24"/>
    <mergeCell ref="B25:D25"/>
    <mergeCell ref="E25:H25"/>
    <mergeCell ref="I25:L25"/>
    <mergeCell ref="M25:P25"/>
    <mergeCell ref="Q25:S25"/>
    <mergeCell ref="T25:X25"/>
    <mergeCell ref="Y25:AA25"/>
    <mergeCell ref="B24:D24"/>
    <mergeCell ref="E24:H24"/>
    <mergeCell ref="I24:L24"/>
    <mergeCell ref="M24:P24"/>
    <mergeCell ref="Q24:S24"/>
    <mergeCell ref="T24:X24"/>
    <mergeCell ref="Y26:AA26"/>
    <mergeCell ref="B27:D27"/>
    <mergeCell ref="E27:H27"/>
    <mergeCell ref="I27:L27"/>
    <mergeCell ref="M27:P27"/>
    <mergeCell ref="Q27:S27"/>
    <mergeCell ref="T27:X27"/>
    <mergeCell ref="Y27:AA27"/>
    <mergeCell ref="B26:D26"/>
    <mergeCell ref="E26:H26"/>
    <mergeCell ref="I26:L26"/>
    <mergeCell ref="M26:P26"/>
    <mergeCell ref="Q26:S26"/>
    <mergeCell ref="T26:X26"/>
    <mergeCell ref="Y28:AA28"/>
    <mergeCell ref="B29:D29"/>
    <mergeCell ref="E29:H29"/>
    <mergeCell ref="I29:L29"/>
    <mergeCell ref="M29:P29"/>
    <mergeCell ref="Q29:S29"/>
    <mergeCell ref="T29:X29"/>
    <mergeCell ref="Y29:AA29"/>
    <mergeCell ref="B28:D28"/>
    <mergeCell ref="E28:H28"/>
    <mergeCell ref="I28:L28"/>
    <mergeCell ref="M28:P28"/>
    <mergeCell ref="Q28:S28"/>
    <mergeCell ref="T28:X28"/>
    <mergeCell ref="Y30:AA30"/>
    <mergeCell ref="B31:D31"/>
    <mergeCell ref="E31:H31"/>
    <mergeCell ref="I31:L31"/>
    <mergeCell ref="M31:P31"/>
    <mergeCell ref="Q31:S31"/>
    <mergeCell ref="T31:X31"/>
    <mergeCell ref="Y31:AA31"/>
    <mergeCell ref="B30:D30"/>
    <mergeCell ref="E30:H30"/>
    <mergeCell ref="I30:L30"/>
    <mergeCell ref="M30:P30"/>
    <mergeCell ref="Q30:S30"/>
    <mergeCell ref="T30:X30"/>
    <mergeCell ref="Y32:AA32"/>
    <mergeCell ref="B33:D33"/>
    <mergeCell ref="E33:H33"/>
    <mergeCell ref="I33:L33"/>
    <mergeCell ref="M33:P33"/>
    <mergeCell ref="Q33:S33"/>
    <mergeCell ref="T33:X33"/>
    <mergeCell ref="Y33:AA33"/>
    <mergeCell ref="B32:D32"/>
    <mergeCell ref="E32:H32"/>
    <mergeCell ref="I32:L32"/>
    <mergeCell ref="M32:P32"/>
    <mergeCell ref="Q32:S32"/>
    <mergeCell ref="T32:X32"/>
    <mergeCell ref="Y34:AA34"/>
    <mergeCell ref="B35:D35"/>
    <mergeCell ref="E35:H35"/>
    <mergeCell ref="I35:L35"/>
    <mergeCell ref="M35:P35"/>
    <mergeCell ref="Q35:S35"/>
    <mergeCell ref="T35:X35"/>
    <mergeCell ref="Y35:AA35"/>
    <mergeCell ref="B34:D34"/>
    <mergeCell ref="E34:H34"/>
    <mergeCell ref="I34:L34"/>
    <mergeCell ref="M34:P34"/>
    <mergeCell ref="Q34:S34"/>
    <mergeCell ref="T34:X34"/>
    <mergeCell ref="Y36:AA36"/>
    <mergeCell ref="B37:D37"/>
    <mergeCell ref="E37:H37"/>
    <mergeCell ref="I37:L37"/>
    <mergeCell ref="M37:P37"/>
    <mergeCell ref="Q37:S37"/>
    <mergeCell ref="T37:X37"/>
    <mergeCell ref="Y37:AA37"/>
    <mergeCell ref="B36:D36"/>
    <mergeCell ref="E36:H36"/>
    <mergeCell ref="I36:L36"/>
    <mergeCell ref="M36:P36"/>
    <mergeCell ref="Q36:S36"/>
    <mergeCell ref="T36:X36"/>
    <mergeCell ref="Y38:AA38"/>
    <mergeCell ref="B39:D39"/>
    <mergeCell ref="E39:H39"/>
    <mergeCell ref="I39:L39"/>
    <mergeCell ref="M39:P39"/>
    <mergeCell ref="Q39:S39"/>
    <mergeCell ref="T39:X39"/>
    <mergeCell ref="Y39:AA39"/>
    <mergeCell ref="B38:D38"/>
    <mergeCell ref="E38:H38"/>
    <mergeCell ref="I38:L38"/>
    <mergeCell ref="M38:P38"/>
    <mergeCell ref="Q38:S38"/>
    <mergeCell ref="T38:X38"/>
    <mergeCell ref="Y40:AA40"/>
    <mergeCell ref="B41:D41"/>
    <mergeCell ref="E41:H41"/>
    <mergeCell ref="I41:L41"/>
    <mergeCell ref="M41:P41"/>
    <mergeCell ref="Q41:S41"/>
    <mergeCell ref="T41:X41"/>
    <mergeCell ref="Y41:AA41"/>
    <mergeCell ref="B40:D40"/>
    <mergeCell ref="E40:H40"/>
    <mergeCell ref="I40:L40"/>
    <mergeCell ref="M40:P40"/>
    <mergeCell ref="Q40:S40"/>
    <mergeCell ref="T40:X40"/>
    <mergeCell ref="Y42:AA42"/>
    <mergeCell ref="B43:D43"/>
    <mergeCell ref="E43:H43"/>
    <mergeCell ref="I43:L43"/>
    <mergeCell ref="M43:P43"/>
    <mergeCell ref="Q43:S43"/>
    <mergeCell ref="T43:X43"/>
    <mergeCell ref="Y43:AA43"/>
    <mergeCell ref="B42:D42"/>
    <mergeCell ref="E42:H42"/>
    <mergeCell ref="I42:L42"/>
    <mergeCell ref="M42:P42"/>
    <mergeCell ref="Q42:S42"/>
    <mergeCell ref="T42:X42"/>
    <mergeCell ref="Y44:AA44"/>
    <mergeCell ref="B45:D45"/>
    <mergeCell ref="E45:H45"/>
    <mergeCell ref="I45:L45"/>
    <mergeCell ref="M45:P45"/>
    <mergeCell ref="Q45:S45"/>
    <mergeCell ref="T45:X45"/>
    <mergeCell ref="Y45:AA45"/>
    <mergeCell ref="B44:D44"/>
    <mergeCell ref="E44:H44"/>
    <mergeCell ref="I44:L44"/>
    <mergeCell ref="M44:P44"/>
    <mergeCell ref="Q44:S44"/>
    <mergeCell ref="T44:X44"/>
    <mergeCell ref="Y46:AA46"/>
    <mergeCell ref="B47:D47"/>
    <mergeCell ref="E47:H47"/>
    <mergeCell ref="I47:L47"/>
    <mergeCell ref="M47:P47"/>
    <mergeCell ref="Q47:S47"/>
    <mergeCell ref="T47:X47"/>
    <mergeCell ref="Y47:AA47"/>
    <mergeCell ref="B46:D46"/>
    <mergeCell ref="E46:H46"/>
    <mergeCell ref="I46:L46"/>
    <mergeCell ref="M46:P46"/>
    <mergeCell ref="Q46:S46"/>
    <mergeCell ref="T46:X46"/>
    <mergeCell ref="Y48:AA48"/>
    <mergeCell ref="B49:D49"/>
    <mergeCell ref="E49:H49"/>
    <mergeCell ref="I49:L49"/>
    <mergeCell ref="M49:P49"/>
    <mergeCell ref="Q49:S49"/>
    <mergeCell ref="T49:X49"/>
    <mergeCell ref="Y49:AA49"/>
    <mergeCell ref="B48:D48"/>
    <mergeCell ref="E48:H48"/>
    <mergeCell ref="I48:L48"/>
    <mergeCell ref="M48:P48"/>
    <mergeCell ref="Q48:S48"/>
    <mergeCell ref="T48:X48"/>
    <mergeCell ref="Y50:AA50"/>
    <mergeCell ref="B51:D51"/>
    <mergeCell ref="E51:H51"/>
    <mergeCell ref="I51:L51"/>
    <mergeCell ref="M51:P51"/>
    <mergeCell ref="Q51:S51"/>
    <mergeCell ref="T51:X51"/>
    <mergeCell ref="Y51:AA51"/>
    <mergeCell ref="B50:D50"/>
    <mergeCell ref="E50:H50"/>
    <mergeCell ref="I50:L50"/>
    <mergeCell ref="M50:P50"/>
    <mergeCell ref="Q50:S50"/>
    <mergeCell ref="T50:X50"/>
    <mergeCell ref="Y52:AA52"/>
    <mergeCell ref="B53:D53"/>
    <mergeCell ref="E53:H53"/>
    <mergeCell ref="I53:L53"/>
    <mergeCell ref="M53:P53"/>
    <mergeCell ref="Q53:S53"/>
    <mergeCell ref="T53:X53"/>
    <mergeCell ref="Y53:AA53"/>
    <mergeCell ref="B52:D52"/>
    <mergeCell ref="E52:H52"/>
    <mergeCell ref="I52:L52"/>
    <mergeCell ref="M52:P52"/>
    <mergeCell ref="Q52:S52"/>
    <mergeCell ref="T52:X52"/>
    <mergeCell ref="Y58:AB58"/>
    <mergeCell ref="A59:AB59"/>
    <mergeCell ref="A62:AB63"/>
    <mergeCell ref="E65:G65"/>
    <mergeCell ref="H65:W65"/>
    <mergeCell ref="E66:G67"/>
    <mergeCell ref="H66:W66"/>
    <mergeCell ref="H67:W67"/>
    <mergeCell ref="Y54:AA54"/>
    <mergeCell ref="B55:D55"/>
    <mergeCell ref="E55:H55"/>
    <mergeCell ref="I55:L55"/>
    <mergeCell ref="M55:P55"/>
    <mergeCell ref="Q55:S55"/>
    <mergeCell ref="T55:X55"/>
    <mergeCell ref="Y55:AA55"/>
    <mergeCell ref="B54:D54"/>
    <mergeCell ref="E54:H54"/>
    <mergeCell ref="I54:L54"/>
    <mergeCell ref="M54:P54"/>
    <mergeCell ref="Q54:S54"/>
    <mergeCell ref="T54:X54"/>
    <mergeCell ref="Y71:AA71"/>
    <mergeCell ref="B73:D73"/>
    <mergeCell ref="E73:H73"/>
    <mergeCell ref="I73:L73"/>
    <mergeCell ref="M73:P73"/>
    <mergeCell ref="Q73:S73"/>
    <mergeCell ref="T73:X73"/>
    <mergeCell ref="Y73:AA73"/>
    <mergeCell ref="E68:G68"/>
    <mergeCell ref="H68:W68"/>
    <mergeCell ref="B71:D71"/>
    <mergeCell ref="E71:H71"/>
    <mergeCell ref="I71:L71"/>
    <mergeCell ref="M71:P71"/>
    <mergeCell ref="Q71:S71"/>
    <mergeCell ref="T71:X71"/>
    <mergeCell ref="Y74:AA74"/>
    <mergeCell ref="B75:D75"/>
    <mergeCell ref="E75:H75"/>
    <mergeCell ref="I75:L75"/>
    <mergeCell ref="M75:P75"/>
    <mergeCell ref="Q75:S75"/>
    <mergeCell ref="T75:X75"/>
    <mergeCell ref="Y75:AA75"/>
    <mergeCell ref="B74:D74"/>
    <mergeCell ref="E74:H74"/>
    <mergeCell ref="I74:L74"/>
    <mergeCell ref="M74:P74"/>
    <mergeCell ref="Q74:S74"/>
    <mergeCell ref="T74:X74"/>
    <mergeCell ref="Y76:AA76"/>
    <mergeCell ref="B77:D77"/>
    <mergeCell ref="E77:H77"/>
    <mergeCell ref="I77:L77"/>
    <mergeCell ref="M77:P77"/>
    <mergeCell ref="Q77:S77"/>
    <mergeCell ref="T77:X77"/>
    <mergeCell ref="Y77:AA77"/>
    <mergeCell ref="B76:D76"/>
    <mergeCell ref="E76:H76"/>
    <mergeCell ref="I76:L76"/>
    <mergeCell ref="M76:P76"/>
    <mergeCell ref="Q76:S76"/>
    <mergeCell ref="T76:X76"/>
    <mergeCell ref="Y78:AA78"/>
    <mergeCell ref="B79:D79"/>
    <mergeCell ref="E79:H79"/>
    <mergeCell ref="I79:L79"/>
    <mergeCell ref="M79:P79"/>
    <mergeCell ref="Q79:S79"/>
    <mergeCell ref="T79:X79"/>
    <mergeCell ref="Y79:AA79"/>
    <mergeCell ref="B78:D78"/>
    <mergeCell ref="E78:H78"/>
    <mergeCell ref="I78:L78"/>
    <mergeCell ref="M78:P78"/>
    <mergeCell ref="Q78:S78"/>
    <mergeCell ref="T78:X78"/>
    <mergeCell ref="Y80:AA80"/>
    <mergeCell ref="B81:D81"/>
    <mergeCell ref="E81:H81"/>
    <mergeCell ref="I81:L81"/>
    <mergeCell ref="M81:P81"/>
    <mergeCell ref="Q81:S81"/>
    <mergeCell ref="T81:X81"/>
    <mergeCell ref="Y81:AA81"/>
    <mergeCell ref="B80:D80"/>
    <mergeCell ref="E80:H80"/>
    <mergeCell ref="I80:L80"/>
    <mergeCell ref="M80:P80"/>
    <mergeCell ref="Q80:S80"/>
    <mergeCell ref="T80:X80"/>
    <mergeCell ref="Y82:AA82"/>
    <mergeCell ref="B83:D83"/>
    <mergeCell ref="E83:H83"/>
    <mergeCell ref="I83:L83"/>
    <mergeCell ref="M83:P83"/>
    <mergeCell ref="Q83:S83"/>
    <mergeCell ref="T83:X83"/>
    <mergeCell ref="Y83:AA83"/>
    <mergeCell ref="B82:D82"/>
    <mergeCell ref="E82:H82"/>
    <mergeCell ref="I82:L82"/>
    <mergeCell ref="M82:P82"/>
    <mergeCell ref="Q82:S82"/>
    <mergeCell ref="T82:X82"/>
    <mergeCell ref="Y84:AA84"/>
    <mergeCell ref="B85:D85"/>
    <mergeCell ref="E85:H85"/>
    <mergeCell ref="I85:L85"/>
    <mergeCell ref="M85:P85"/>
    <mergeCell ref="Q85:S85"/>
    <mergeCell ref="T85:X85"/>
    <mergeCell ref="Y85:AA85"/>
    <mergeCell ref="B84:D84"/>
    <mergeCell ref="E84:H84"/>
    <mergeCell ref="I84:L84"/>
    <mergeCell ref="M84:P84"/>
    <mergeCell ref="Q84:S84"/>
    <mergeCell ref="T84:X84"/>
    <mergeCell ref="Y86:AA86"/>
    <mergeCell ref="B87:D87"/>
    <mergeCell ref="E87:H87"/>
    <mergeCell ref="I87:L87"/>
    <mergeCell ref="M87:P87"/>
    <mergeCell ref="Q87:S87"/>
    <mergeCell ref="T87:X87"/>
    <mergeCell ref="Y87:AA87"/>
    <mergeCell ref="B86:D86"/>
    <mergeCell ref="E86:H86"/>
    <mergeCell ref="I86:L86"/>
    <mergeCell ref="M86:P86"/>
    <mergeCell ref="Q86:S86"/>
    <mergeCell ref="T86:X86"/>
    <mergeCell ref="Y88:AA88"/>
    <mergeCell ref="B89:D89"/>
    <mergeCell ref="E89:H89"/>
    <mergeCell ref="I89:L89"/>
    <mergeCell ref="M89:P89"/>
    <mergeCell ref="Q89:S89"/>
    <mergeCell ref="T89:X89"/>
    <mergeCell ref="Y89:AA89"/>
    <mergeCell ref="B88:D88"/>
    <mergeCell ref="E88:H88"/>
    <mergeCell ref="I88:L88"/>
    <mergeCell ref="M88:P88"/>
    <mergeCell ref="Q88:S88"/>
    <mergeCell ref="T88:X88"/>
    <mergeCell ref="Y90:AA90"/>
    <mergeCell ref="B91:D91"/>
    <mergeCell ref="E91:H91"/>
    <mergeCell ref="I91:L91"/>
    <mergeCell ref="M91:P91"/>
    <mergeCell ref="Q91:S91"/>
    <mergeCell ref="T91:X91"/>
    <mergeCell ref="Y91:AA91"/>
    <mergeCell ref="B90:D90"/>
    <mergeCell ref="E90:H90"/>
    <mergeCell ref="I90:L90"/>
    <mergeCell ref="M90:P90"/>
    <mergeCell ref="Q90:S90"/>
    <mergeCell ref="T90:X90"/>
    <mergeCell ref="Y92:AA92"/>
    <mergeCell ref="B93:D93"/>
    <mergeCell ref="E93:H93"/>
    <mergeCell ref="I93:L93"/>
    <mergeCell ref="M93:P93"/>
    <mergeCell ref="Q93:S93"/>
    <mergeCell ref="T93:X93"/>
    <mergeCell ref="Y93:AA93"/>
    <mergeCell ref="B92:D92"/>
    <mergeCell ref="E92:H92"/>
    <mergeCell ref="I92:L92"/>
    <mergeCell ref="M92:P92"/>
    <mergeCell ref="Q92:S92"/>
    <mergeCell ref="T92:X92"/>
    <mergeCell ref="Y94:AA94"/>
    <mergeCell ref="B95:D95"/>
    <mergeCell ref="E95:H95"/>
    <mergeCell ref="I95:L95"/>
    <mergeCell ref="M95:P95"/>
    <mergeCell ref="Q95:S95"/>
    <mergeCell ref="T95:X95"/>
    <mergeCell ref="Y95:AA95"/>
    <mergeCell ref="B94:D94"/>
    <mergeCell ref="E94:H94"/>
    <mergeCell ref="I94:L94"/>
    <mergeCell ref="M94:P94"/>
    <mergeCell ref="Q94:S94"/>
    <mergeCell ref="T94:X94"/>
    <mergeCell ref="Y96:AA96"/>
    <mergeCell ref="B97:D97"/>
    <mergeCell ref="E97:H97"/>
    <mergeCell ref="I97:L97"/>
    <mergeCell ref="M97:P97"/>
    <mergeCell ref="Q97:S97"/>
    <mergeCell ref="T97:X97"/>
    <mergeCell ref="Y97:AA97"/>
    <mergeCell ref="B96:D96"/>
    <mergeCell ref="E96:H96"/>
    <mergeCell ref="I96:L96"/>
    <mergeCell ref="M96:P96"/>
    <mergeCell ref="Q96:S96"/>
    <mergeCell ref="T96:X96"/>
    <mergeCell ref="Y98:AA98"/>
    <mergeCell ref="B99:D99"/>
    <mergeCell ref="E99:H99"/>
    <mergeCell ref="I99:L99"/>
    <mergeCell ref="M99:P99"/>
    <mergeCell ref="Q99:S99"/>
    <mergeCell ref="T99:X99"/>
    <mergeCell ref="Y99:AA99"/>
    <mergeCell ref="B98:D98"/>
    <mergeCell ref="E98:H98"/>
    <mergeCell ref="I98:L98"/>
    <mergeCell ref="M98:P98"/>
    <mergeCell ref="Q98:S98"/>
    <mergeCell ref="T98:X98"/>
    <mergeCell ref="Y100:AA100"/>
    <mergeCell ref="B101:D101"/>
    <mergeCell ref="E101:H101"/>
    <mergeCell ref="I101:L101"/>
    <mergeCell ref="M101:P101"/>
    <mergeCell ref="Q101:S101"/>
    <mergeCell ref="T101:X101"/>
    <mergeCell ref="Y101:AA101"/>
    <mergeCell ref="B100:D100"/>
    <mergeCell ref="E100:H100"/>
    <mergeCell ref="I100:L100"/>
    <mergeCell ref="M100:P100"/>
    <mergeCell ref="Q100:S100"/>
    <mergeCell ref="T100:X100"/>
    <mergeCell ref="Y102:AA102"/>
    <mergeCell ref="B103:D103"/>
    <mergeCell ref="E103:H103"/>
    <mergeCell ref="I103:L103"/>
    <mergeCell ref="M103:P103"/>
    <mergeCell ref="Q103:S103"/>
    <mergeCell ref="T103:X103"/>
    <mergeCell ref="Y103:AA103"/>
    <mergeCell ref="B102:D102"/>
    <mergeCell ref="E102:H102"/>
    <mergeCell ref="I102:L102"/>
    <mergeCell ref="M102:P102"/>
    <mergeCell ref="Q102:S102"/>
    <mergeCell ref="T102:X102"/>
    <mergeCell ref="Y104:AA104"/>
    <mergeCell ref="B105:D105"/>
    <mergeCell ref="E105:H105"/>
    <mergeCell ref="I105:L105"/>
    <mergeCell ref="M105:P105"/>
    <mergeCell ref="Q105:S105"/>
    <mergeCell ref="T105:X105"/>
    <mergeCell ref="Y105:AA105"/>
    <mergeCell ref="B104:D104"/>
    <mergeCell ref="E104:H104"/>
    <mergeCell ref="I104:L104"/>
    <mergeCell ref="M104:P104"/>
    <mergeCell ref="Q104:S104"/>
    <mergeCell ref="T104:X104"/>
    <mergeCell ref="Y106:AA106"/>
    <mergeCell ref="B107:D107"/>
    <mergeCell ref="E107:H107"/>
    <mergeCell ref="I107:L107"/>
    <mergeCell ref="M107:P107"/>
    <mergeCell ref="Q107:S107"/>
    <mergeCell ref="T107:X107"/>
    <mergeCell ref="Y107:AA107"/>
    <mergeCell ref="B106:D106"/>
    <mergeCell ref="E106:H106"/>
    <mergeCell ref="I106:L106"/>
    <mergeCell ref="M106:P106"/>
    <mergeCell ref="Q106:S106"/>
    <mergeCell ref="T106:X106"/>
    <mergeCell ref="Y108:AA108"/>
    <mergeCell ref="B109:D109"/>
    <mergeCell ref="E109:H109"/>
    <mergeCell ref="I109:L109"/>
    <mergeCell ref="M109:P109"/>
    <mergeCell ref="Q109:S109"/>
    <mergeCell ref="T109:X109"/>
    <mergeCell ref="Y109:AA109"/>
    <mergeCell ref="B108:D108"/>
    <mergeCell ref="E108:H108"/>
    <mergeCell ref="I108:L108"/>
    <mergeCell ref="M108:P108"/>
    <mergeCell ref="Q108:S108"/>
    <mergeCell ref="T108:X108"/>
    <mergeCell ref="Y110:AA110"/>
    <mergeCell ref="B111:D111"/>
    <mergeCell ref="E111:H111"/>
    <mergeCell ref="I111:L111"/>
    <mergeCell ref="M111:P111"/>
    <mergeCell ref="Q111:S111"/>
    <mergeCell ref="T111:X111"/>
    <mergeCell ref="Y111:AA111"/>
    <mergeCell ref="B110:D110"/>
    <mergeCell ref="E110:H110"/>
    <mergeCell ref="I110:L110"/>
    <mergeCell ref="M110:P110"/>
    <mergeCell ref="Q110:S110"/>
    <mergeCell ref="T110:X110"/>
    <mergeCell ref="Y116:AA116"/>
    <mergeCell ref="Y112:AA112"/>
    <mergeCell ref="B113:D113"/>
    <mergeCell ref="E113:H113"/>
    <mergeCell ref="I113:L113"/>
    <mergeCell ref="M113:P113"/>
    <mergeCell ref="Q113:S113"/>
    <mergeCell ref="T113:X113"/>
    <mergeCell ref="Y113:AA113"/>
    <mergeCell ref="B112:D112"/>
    <mergeCell ref="E112:H112"/>
    <mergeCell ref="I112:L112"/>
    <mergeCell ref="M112:P112"/>
    <mergeCell ref="Q112:S112"/>
    <mergeCell ref="T112:X112"/>
  </mergeCells>
  <phoneticPr fontId="3"/>
  <printOptions horizontalCentered="1" verticalCentered="1"/>
  <pageMargins left="0" right="0" top="0.19685039370078741" bottom="0.19685039370078741" header="0.51181102362204722" footer="0.51181102362204722"/>
  <pageSetup paperSize="9" scale="82" orientation="portrait" r:id="rId1"/>
  <headerFooter alignWithMargins="0"/>
  <rowBreaks count="1" manualBreakCount="1">
    <brk id="58"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103</vt:i4>
      </vt:variant>
    </vt:vector>
  </HeadingPairs>
  <TitlesOfParts>
    <vt:vector size="123" baseType="lpstr">
      <vt:lpstr>口座勘定元帳R</vt:lpstr>
      <vt:lpstr>委託者別勘定元帳R</vt:lpstr>
      <vt:lpstr>委託者別勘定元帳T</vt:lpstr>
      <vt:lpstr>総合管理表R</vt:lpstr>
      <vt:lpstr>総合管理表T</vt:lpstr>
      <vt:lpstr>残高照合通知書R</vt:lpstr>
      <vt:lpstr>残高照合通知書T</vt:lpstr>
      <vt:lpstr>残高照合(返信)R</vt:lpstr>
      <vt:lpstr>残高照合(返信)T</vt:lpstr>
      <vt:lpstr>売買報告書R</vt:lpstr>
      <vt:lpstr>売買報告書T</vt:lpstr>
      <vt:lpstr>売買情報R</vt:lpstr>
      <vt:lpstr>売買情報T</vt:lpstr>
      <vt:lpstr>商い履歴R</vt:lpstr>
      <vt:lpstr>商い履歴T</vt:lpstr>
      <vt:lpstr>不足金額請求書R</vt:lpstr>
      <vt:lpstr>不足金額請求書T</vt:lpstr>
      <vt:lpstr>解約確認書R</vt:lpstr>
      <vt:lpstr>解約確認書T</vt:lpstr>
      <vt:lpstr>口座勘定元帳T</vt:lpstr>
      <vt:lpstr>'残高照合(返信)T'!Address1</vt:lpstr>
      <vt:lpstr>残高照合通知書T!Address1</vt:lpstr>
      <vt:lpstr>売買報告書T!Address1</vt:lpstr>
      <vt:lpstr>不足金額請求書T!Address1</vt:lpstr>
      <vt:lpstr>Address1</vt:lpstr>
      <vt:lpstr>'残高照合(返信)T'!Address2</vt:lpstr>
      <vt:lpstr>残高照合通知書T!Address2</vt:lpstr>
      <vt:lpstr>売買報告書T!Address2</vt:lpstr>
      <vt:lpstr>不足金額請求書T!Address2</vt:lpstr>
      <vt:lpstr>Address2</vt:lpstr>
      <vt:lpstr>Adress</vt:lpstr>
      <vt:lpstr>AveLine</vt:lpstr>
      <vt:lpstr>商い履歴T!Azukarikin</vt:lpstr>
      <vt:lpstr>Azukarikin</vt:lpstr>
      <vt:lpstr>Branch</vt:lpstr>
      <vt:lpstr>BuyLine</vt:lpstr>
      <vt:lpstr>BuyLine2</vt:lpstr>
      <vt:lpstr>売買情報T!CustHandTel</vt:lpstr>
      <vt:lpstr>CustHandTel</vt:lpstr>
      <vt:lpstr>売買情報T!CustID</vt:lpstr>
      <vt:lpstr>CustID</vt:lpstr>
      <vt:lpstr>'残高照合(返信)T'!CustName</vt:lpstr>
      <vt:lpstr>残高照合通知書T!CustName</vt:lpstr>
      <vt:lpstr>商い履歴T!CustName</vt:lpstr>
      <vt:lpstr>売買報告書T!CustName</vt:lpstr>
      <vt:lpstr>不足金額請求書T!CustName</vt:lpstr>
      <vt:lpstr>CustName</vt:lpstr>
      <vt:lpstr>CustName_委託者別</vt:lpstr>
      <vt:lpstr>売買情報T!CustNmae</vt:lpstr>
      <vt:lpstr>'残高照合(返信)T'!CustNumber</vt:lpstr>
      <vt:lpstr>残高照合通知書T!CustNumber</vt:lpstr>
      <vt:lpstr>商い履歴T!CustNumber</vt:lpstr>
      <vt:lpstr>売買報告書T!CustNumber</vt:lpstr>
      <vt:lpstr>不足金額請求書T!CustNumber</vt:lpstr>
      <vt:lpstr>CustNumber</vt:lpstr>
      <vt:lpstr>売買情報T!CustTel</vt:lpstr>
      <vt:lpstr>CustTel</vt:lpstr>
      <vt:lpstr>売買情報T!CustWorkTel</vt:lpstr>
      <vt:lpstr>CustWorkTel</vt:lpstr>
      <vt:lpstr>DataLine</vt:lpstr>
      <vt:lpstr>DataTitleLine</vt:lpstr>
      <vt:lpstr>'残高照合(返信)T'!DealingDate</vt:lpstr>
      <vt:lpstr>残高照合通知書T!DealingDate</vt:lpstr>
      <vt:lpstr>売買報告書T!DealingDate</vt:lpstr>
      <vt:lpstr>不足金額請求書T!DealingDate</vt:lpstr>
      <vt:lpstr>DealingDate</vt:lpstr>
      <vt:lpstr>FeeLine</vt:lpstr>
      <vt:lpstr>FeeLine2</vt:lpstr>
      <vt:lpstr>GenzaiTorihiki</vt:lpstr>
      <vt:lpstr>'残高照合(返信)T'!IssuedDate</vt:lpstr>
      <vt:lpstr>残高照合通知書T!IssuedDate</vt:lpstr>
      <vt:lpstr>売買報告書T!IssuedDate</vt:lpstr>
      <vt:lpstr>不足金額請求書T!IssuedDate</vt:lpstr>
      <vt:lpstr>IssuedDate</vt:lpstr>
      <vt:lpstr>ItemLine</vt:lpstr>
      <vt:lpstr>ItemLine2</vt:lpstr>
      <vt:lpstr>KinriZan</vt:lpstr>
      <vt:lpstr>KinriZandaka</vt:lpstr>
      <vt:lpstr>売買情報T!NesDepoMony</vt:lpstr>
      <vt:lpstr>NesDepoMony</vt:lpstr>
      <vt:lpstr>NextPage</vt:lpstr>
      <vt:lpstr>不足金額請求書T!NyuukinKijitsu</vt:lpstr>
      <vt:lpstr>NyuukinKijitsu</vt:lpstr>
      <vt:lpstr>Page1st</vt:lpstr>
      <vt:lpstr>Page2nd</vt:lpstr>
      <vt:lpstr>売買情報T!PosiStart</vt:lpstr>
      <vt:lpstr>PosiStart</vt:lpstr>
      <vt:lpstr>不足金額請求書T!Print_Area</vt:lpstr>
      <vt:lpstr>委託者別勘定元帳R!Print_Titles</vt:lpstr>
      <vt:lpstr>委託者別勘定元帳T!Print_Titles</vt:lpstr>
      <vt:lpstr>総合管理表R!Print_Titles</vt:lpstr>
      <vt:lpstr>ProcessedDate</vt:lpstr>
      <vt:lpstr>売買情報T!ProfitLossTotl</vt:lpstr>
      <vt:lpstr>ProfitLossTotl</vt:lpstr>
      <vt:lpstr>SaleLine</vt:lpstr>
      <vt:lpstr>SaleLine2</vt:lpstr>
      <vt:lpstr>SartPoint</vt:lpstr>
      <vt:lpstr>不足金額請求書T!Seikyuugaku</vt:lpstr>
      <vt:lpstr>Seikyuugaku</vt:lpstr>
      <vt:lpstr>ShiteiDate</vt:lpstr>
      <vt:lpstr>売買情報T!StartLine</vt:lpstr>
      <vt:lpstr>StartLine</vt:lpstr>
      <vt:lpstr>StartPoint</vt:lpstr>
      <vt:lpstr>StartTorihiki</vt:lpstr>
      <vt:lpstr>SubTotalLine</vt:lpstr>
      <vt:lpstr>SwapLine</vt:lpstr>
      <vt:lpstr>SwapLine2</vt:lpstr>
      <vt:lpstr>TelNumber</vt:lpstr>
      <vt:lpstr>TLine</vt:lpstr>
      <vt:lpstr>TLine2</vt:lpstr>
      <vt:lpstr>TodayNyuukin</vt:lpstr>
      <vt:lpstr>商い履歴T!TodayTorihiki</vt:lpstr>
      <vt:lpstr>売買報告書T!TodayTorihiki</vt:lpstr>
      <vt:lpstr>TodayTorihiki</vt:lpstr>
      <vt:lpstr>TorihikiStart</vt:lpstr>
      <vt:lpstr>TotalLine</vt:lpstr>
      <vt:lpstr>売買情報T!TradeDate</vt:lpstr>
      <vt:lpstr>TradeDate</vt:lpstr>
      <vt:lpstr>'残高照合(返信)T'!ZipCode</vt:lpstr>
      <vt:lpstr>残高照合通知書T!ZipCode</vt:lpstr>
      <vt:lpstr>売買報告書T!ZipCode</vt:lpstr>
      <vt:lpstr>不足金額請求書T!ZipCode</vt:lpstr>
      <vt:lpstr>ZipCode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トラストIT 住原 政雄</dc:creator>
  <cp:lastModifiedBy>トラストIT 住原 政雄</cp:lastModifiedBy>
  <cp:lastPrinted>2024-04-05T01:00:47Z</cp:lastPrinted>
  <dcterms:created xsi:type="dcterms:W3CDTF">2024-04-04T06:25:05Z</dcterms:created>
  <dcterms:modified xsi:type="dcterms:W3CDTF">2024-07-19T05:11:21Z</dcterms:modified>
</cp:coreProperties>
</file>